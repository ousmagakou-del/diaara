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its" sheetId="1" state="visible" r:id="rId3"/>
    <sheet name="Synthèse" sheetId="2" state="visible" r:id="rId4"/>
  </sheets>
  <definedNames>
    <definedName function="false" hidden="true" localSheetId="0" name="_xlnm._FilterDatabase" vbProcedure="false">Produits!$A$6:$K$165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<sst xmlns="http://schemas.openxmlformats.org/spreadsheetml/2006/main" count="906" uniqueCount="197">
  <si>
    <t xml:space="preserve">SAM'S CLUB × BENCH DAKAR — Prix alignés marché local −5% (21/07/2026)</t>
  </si>
  <si>
    <t xml:space="preserve">Taux F CFA / USD :</t>
  </si>
  <si>
    <t xml:space="preserve">Cellules jaunes modifiables — tout se recalcule.</t>
  </si>
  <si>
    <t xml:space="preserve">Remise vs prix Dakar :</t>
  </si>
  <si>
    <t xml:space="preserve">Prix YARAM = prix Dakar × (1 − remise), arrondi au 100 F. Si introuvable à Dakar : prix $ × coef (couvre fret + douane + marge), arrondi au 100 F.</t>
  </si>
  <si>
    <t xml:space="preserve">Coef. estimation si introuvable (F CFA par $) :</t>
  </si>
  <si>
    <t xml:space="preserve">Bench réalisé sur : Univers Cosmetix, Fabellashop, Pharmec, Nubian Beauty, Miftah, Sengarmi, Lunéa, Poudrine, Jumia, etc.</t>
  </si>
  <si>
    <t xml:space="preserve">Catégorie</t>
  </si>
  <si>
    <t xml:space="preserve">Produit</t>
  </si>
  <si>
    <t xml:space="preserve">Prix $</t>
  </si>
  <si>
    <t xml:space="preserve">Prix Dakar (F)</t>
  </si>
  <si>
    <t xml:space="preserve">Source Dakar</t>
  </si>
  <si>
    <t xml:space="preserve">Match</t>
  </si>
  <si>
    <t xml:space="preserve">PRIX YARAM (F)</t>
  </si>
  <si>
    <t xml:space="preserve">Note /5</t>
  </si>
  <si>
    <t xml:space="preserve">Avis</t>
  </si>
  <si>
    <t xml:space="preserve">Image</t>
  </si>
  <si>
    <t xml:space="preserve">Sam's Club</t>
  </si>
  <si>
    <t xml:space="preserve">cheveux</t>
  </si>
  <si>
    <t xml:space="preserve">Being CURL POWER Shampoo &amp; Conditioner Duo, 12 fl. oz., 2 pk.</t>
  </si>
  <si>
    <t xml:space="preserve">introuvable</t>
  </si>
  <si>
    <t xml:space="preserve">Being NOURISH + SHINE Shampoo &amp; Conditioner Duo, 12 fl. oz., 2 pk.</t>
  </si>
  <si>
    <t xml:space="preserve">Davines This is a Medium Hair Spray Flexible Hold Styling, 12 fl. oz.</t>
  </si>
  <si>
    <t xml:space="preserve">Garnier Fructis Sleek &amp; Shine Shampoo &amp; Conditioner, 40 fl. oz., 2 pk.</t>
  </si>
  <si>
    <t xml:space="preserve">Voir</t>
  </si>
  <si>
    <t xml:space="preserve">similaire</t>
  </si>
  <si>
    <t xml:space="preserve">Hairmax Pro 12 LaserComb Hair Growth Bundle</t>
  </si>
  <si>
    <t xml:space="preserve">MONDAY Haircare ORIGINAL Dry Shampoo Trio, 5.1 oz., 3 pk.</t>
  </si>
  <si>
    <t xml:space="preserve">MONDAY Haircare SMOOTH Shampoo and Conditioner Set</t>
  </si>
  <si>
    <t xml:space="preserve">MONDAY Haircare ULTIMATE MOISTURE Gift Set</t>
  </si>
  <si>
    <t xml:space="preserve">Member's Mark Minoxidil 5% 120 Day Foam, 8.44 oz.</t>
  </si>
  <si>
    <t xml:space="preserve">Member's Mark Minoxidil 5%, Hair Regrowth Treatment for Men, 2 fl. oz., 6 ct.</t>
  </si>
  <si>
    <t xml:space="preserve">Men's Rogaine 5% Minoxidil Topical Hair Growth Treatment, 2 pack</t>
  </si>
  <si>
    <t xml:space="preserve">Mielle Rosemary Mint Scalp &amp; Hair Strengthening Oil, 2 oz., 3 pk.</t>
  </si>
  <si>
    <t xml:space="preserve">Monday DEEP MOISTURE Hair Mask Duo, 8.4 fl. oz., 2 pk.</t>
  </si>
  <si>
    <t xml:space="preserve">NatureWell Living For Good Shampoo &amp; Conditioner, 24 fl. oz., 2 pk.</t>
  </si>
  <si>
    <t xml:space="preserve">Nexxus Fullology Densifying Leave In Spray, 8 fl. oz.</t>
  </si>
  <si>
    <t xml:space="preserve">Nexxus Therappe Ultimate Moisturizing Shampoo, 42 fl. oz.</t>
  </si>
  <si>
    <t xml:space="preserve">Prix membre</t>
  </si>
  <si>
    <t xml:space="preserve">Pantene Pro-V Ultimate Care 3-in-1 Conditioner, 38.2 fl. oz.</t>
  </si>
  <si>
    <t xml:space="preserve">Pantene Pro-V Ultimate Care 3-in-1 Shampoo, 38.2 fl. oz.</t>
  </si>
  <si>
    <t xml:space="preserve">TRESemmé Ultimate Moisture Shampoo &amp; Conditioner, 39 fl. oz., 2 pk.</t>
  </si>
  <si>
    <t xml:space="preserve">The LaserBand 41 ComfortFlex Hair Growth Bundle</t>
  </si>
  <si>
    <t xml:space="preserve">corps &amp; bain</t>
  </si>
  <si>
    <t xml:space="preserve">Aquaphor Advanced Therapy Healing Ointment Dual Pack</t>
  </si>
  <si>
    <t xml:space="preserve">Aveeno Daily Moisturizing Body Lotion Set</t>
  </si>
  <si>
    <t xml:space="preserve">Caress Daily Silk Hydrating Body Wash, White Peach &amp; Orange Blossom, 30 fl. oz., 2 pk.</t>
  </si>
  <si>
    <t xml:space="preserve">CeraVe Daily Moisturizing Cream Multi-Pack</t>
  </si>
  <si>
    <t xml:space="preserve">CeraVe Daily Moisturizing Lotion, Normal to Dry Skin, 12 fl. oz., 2 pk.</t>
  </si>
  <si>
    <t xml:space="preserve">Dove Beauty Bar Soap, Original White, 3.75 oz., 16 ct.</t>
  </si>
  <si>
    <t xml:space="preserve">Dove Beauty Bar Soap, Sensitive Skin, 3.75 oz., 16 ct.</t>
  </si>
  <si>
    <t xml:space="preserve">Dove Deep Moisture Body Wash with Pump, 30.6 fl. oz., 2 ct.</t>
  </si>
  <si>
    <t xml:space="preserve">Dove Men+Care Sandalwood Body Wash, 26 fl. oz., 2 pk.</t>
  </si>
  <si>
    <t xml:space="preserve">Dove Pamper &amp; Anti-Stress Body Wash, 30.6 fl. oz., 2 pk.</t>
  </si>
  <si>
    <t xml:space="preserve">Dove Sensitive Skin Body Wash with Pump, 30.6 fl. oz., 2 ct.</t>
  </si>
  <si>
    <t xml:space="preserve">Irish Spring Body Wash for Men, Original Clean, 30 fl. oz., 2 pk.</t>
  </si>
  <si>
    <t xml:space="preserve">Member's Mark Aloe Vera Moisturizing Hand Soap, 80 fl. oz.</t>
  </si>
  <si>
    <t xml:space="preserve">Neutrogena Rainbath Refreshing Shower and Bath Gel, Original, 40 fl. oz.</t>
  </si>
  <si>
    <t xml:space="preserve">Nutrius Brazilian Body Butter Cream, 12 fl. oz.</t>
  </si>
  <si>
    <t xml:space="preserve">O'Keeffe's Healthy Feet and Healthy Feet Night Treatment, 3 oz., 3 pk.</t>
  </si>
  <si>
    <t xml:space="preserve">O'Keeffe's Healthy Feet and Lip Repair Variety Kit</t>
  </si>
  <si>
    <t xml:space="preserve">O'Keeffe's Working Hands and Night Treatment, 3 oz., 3 pk.</t>
  </si>
  <si>
    <t xml:space="preserve">Olay Fresh Outlast Body Wash with Vitamin B3 Complex, 35 oz., 2 pk.</t>
  </si>
  <si>
    <t xml:space="preserve">Olay Indulgent Moisture Scrub + Bodywash Duo Pack</t>
  </si>
  <si>
    <t xml:space="preserve">Olay Super Serum Body Lotion, 18.5 fl. oz., 2 pk.</t>
  </si>
  <si>
    <t xml:space="preserve">Olay Super Serum Body Wash, 20 fl. oz., 2 pk.</t>
  </si>
  <si>
    <t xml:space="preserve">déodorants</t>
  </si>
  <si>
    <t xml:space="preserve">Degree Antiperspirant Deodorant, Shower Clean, 2.6 oz., 5 pk.</t>
  </si>
  <si>
    <t xml:space="preserve">Degree for Men Advanced Protection Antiperspirant, Adventure, 2.7 oz., 5 pk.</t>
  </si>
  <si>
    <t xml:space="preserve">Dove Whole Body Cooling Deodorant Spray, 4 oz., 2 pk.</t>
  </si>
  <si>
    <t xml:space="preserve">Gillette Supreme Maximum Strength Protection Men's Deodorant Clear Gel Antiperspirant, Cool Wave, 3.8 oz., 5 pk.</t>
  </si>
  <si>
    <t xml:space="preserve">Native Aluminum-Free Deodorant, Vanilla Variety Pack, 2.65 oz., 3 pk.</t>
  </si>
  <si>
    <t xml:space="preserve">Old Spice Fiji Antiperspirant Deodorant, Palm Tree + Coconut, 2.6 oz., 4 pk.</t>
  </si>
  <si>
    <t xml:space="preserve">Old Spice High Endurance Deodorant, 48-Hr. Protection, Pure Sport, 3.0 oz., 5 pk.</t>
  </si>
  <si>
    <t xml:space="preserve">Secret Clinical Strength Invisible Solid Antiperspirant Deodorant, Completely Clean, 1.6 oz., 3 pk.</t>
  </si>
  <si>
    <t xml:space="preserve">Secret Dry Spray Women's Antiperspirant Deodorant, Vanilla, Wild Rose &amp; Waterlily, 4.1 oz., 3 pk.</t>
  </si>
  <si>
    <t xml:space="preserve">Secret Outlast Clear Gel Deodorant, Completely Clean, 2.6 oz., 4 pk.</t>
  </si>
  <si>
    <t xml:space="preserve">hygiène bucco-dentaire</t>
  </si>
  <si>
    <t xml:space="preserve">Colgate Total Whitening Gel Toothpaste, 6 oz., 5 pk.</t>
  </si>
  <si>
    <t xml:space="preserve">Crest 3D White Deep Stain Remover Whitening Toothpaste, 2.1 oz., 4 pk.</t>
  </si>
  <si>
    <t xml:space="preserve">Crest Advantage Clean Breath Mouthwash, Spearmint, 33.8 fl. oz., 3 pk.</t>
  </si>
  <si>
    <t xml:space="preserve">Crest Complete + Scope Outlast Ultra Toothpaste, 6.3 oz., 5 pk.</t>
  </si>
  <si>
    <t xml:space="preserve">Crest Gum Detoxify Ultra Toothpaste, 4.7 oz., 4 pk.</t>
  </si>
  <si>
    <t xml:space="preserve">Crest Kid's Advanced Color Changing Toothpaste, Strawberry, 4.2 oz., 4 pk.</t>
  </si>
  <si>
    <t xml:space="preserve">Crest Kid's Toothpaste, Sparkle Fun, 4.6 oz., 5 pk.</t>
  </si>
  <si>
    <t xml:space="preserve">Crest Pro-Health Advanced Whitening + Intensive Clean Toothpaste, 5.8 oz., 5 pk.</t>
  </si>
  <si>
    <t xml:space="preserve">Crest Pro-Health Advantage Multi-Protection Mouthwash, Smooth Mint, 33.8 fl. oz., 3 pk.</t>
  </si>
  <si>
    <t xml:space="preserve">Crest Scope Outlast Mouthwash, Fresh Mint, 33.8 fl. oz., 3 pk.</t>
  </si>
  <si>
    <t xml:space="preserve">Listerine Antiseptic Original Mouthwash, 50.7 fl. oz., 2 pk.</t>
  </si>
  <si>
    <t xml:space="preserve">Listerine Cool Mint Antiseptic Mouthwash, 50.7 fl. oz., 2 pk.</t>
  </si>
  <si>
    <t xml:space="preserve">Listerine Cool Mint PocketPaks, 72-Strip Pack, 6 pk.</t>
  </si>
  <si>
    <t xml:space="preserve">Listerine Gum Therapy Anti-Gingivitis Glacier Mint Mouthwash, 50.72 fl. oz., 2 pk.</t>
  </si>
  <si>
    <t xml:space="preserve">Listerine On-The-Go Cool Mint Mouthwash Sachets, Alcohol Free, 45 ct.</t>
  </si>
  <si>
    <t xml:space="preserve">Listerine Total Care Fresh Mint Mouthwash, 33.8 fl. oz., 3 pk.</t>
  </si>
  <si>
    <t xml:space="preserve">Parodontax Active Gum Repair Toothpaste, 3.4 oz., 5 pk.</t>
  </si>
  <si>
    <t xml:space="preserve">Sensodyne Pronamel Advanced Whitening Toothpaste, 6.5 oz., 4 pk.</t>
  </si>
  <si>
    <t xml:space="preserve">Sensodyne Repair &amp; Protect Toothpaste for Sensitive Teeth, 3.4 oz., 5 pk.</t>
  </si>
  <si>
    <t xml:space="preserve">TheraBreath Icy Mint Mouthwash, 1 L, 2 pk.</t>
  </si>
  <si>
    <t xml:space="preserve">maquillage</t>
  </si>
  <si>
    <t xml:space="preserve">Anastasia Beverly Hills Brow Freeze Gel</t>
  </si>
  <si>
    <t xml:space="preserve">Dior Addict Lip Glow Hydrating Lip Gloss, Choose Color</t>
  </si>
  <si>
    <t xml:space="preserve">Laura Mercier Real Flawless Luminous Perfecting Pressed Powder, Choose Shade</t>
  </si>
  <si>
    <t xml:space="preserve">NatureWell Hydrating Lip PH Tint, 4 pk.</t>
  </si>
  <si>
    <t xml:space="preserve">NatureWell Nourishing Tinted Lip Butter, 4 pk.</t>
  </si>
  <si>
    <t xml:space="preserve">NatureWell Tinted Lip Butter, 0.50 oz., 4 pk.</t>
  </si>
  <si>
    <t xml:space="preserve">Q-tips Cotton Swabs, 1750 ct., 3 pk.</t>
  </si>
  <si>
    <t xml:space="preserve">parfums</t>
  </si>
  <si>
    <t xml:space="preserve">Azzaro The Most Wanted Parfum, 3.38 fl. oz.</t>
  </si>
  <si>
    <t xml:space="preserve">exact</t>
  </si>
  <si>
    <t xml:space="preserve">Burberry Her Eau de Parfum</t>
  </si>
  <si>
    <t xml:space="preserve">Burberry Touch for Men Eau De Toilette, 3.3 fl. oz.</t>
  </si>
  <si>
    <t xml:space="preserve">Calvin Klein CK One Body Spray, 5.4 oz., 3 pk.</t>
  </si>
  <si>
    <t xml:space="preserve">Calvin Klein One Eau De Toilette, 6.7 oz.</t>
  </si>
  <si>
    <t xml:space="preserve">Creed Silver Mountain Water Eau De Parfum</t>
  </si>
  <si>
    <t xml:space="preserve">Dolce &amp; Gabbana Light Blue for Women Eau de Toilette</t>
  </si>
  <si>
    <t xml:space="preserve">Giorgio Armani Acqua di Gio Eau de Toilette</t>
  </si>
  <si>
    <t xml:space="preserve">Gucci Bloom Eau de Parfum</t>
  </si>
  <si>
    <t xml:space="preserve">Gucci Flora Gorgeous Gardenia Eau de Parfum</t>
  </si>
  <si>
    <t xml:space="preserve">Marc Jacobs Daisy Eau So Fresh Eau de Toilette, 4.2 fl. oz.</t>
  </si>
  <si>
    <t xml:space="preserve">Parfums de Marly Layton Eau de Parfum, 125 ml</t>
  </si>
  <si>
    <t xml:space="preserve">Prada Paradoxe Ladies Eau de Parfum</t>
  </si>
  <si>
    <t xml:space="preserve">Tom Ford Lost Cherry Eau de Parfum</t>
  </si>
  <si>
    <t xml:space="preserve">Tom Ford Ombre Leather Eau de Parfum, 3.4 fl. oz.</t>
  </si>
  <si>
    <t xml:space="preserve">Versace Bright Crystal Absolu Eau de Parfum Spray, 3.0 fl. oz.</t>
  </si>
  <si>
    <t xml:space="preserve">Versace Bright Crystal Eau de Toilette</t>
  </si>
  <si>
    <t xml:space="preserve">Versace Eros Energy Pour Homme Eau de Parfum, 3.4 fl. oz.</t>
  </si>
  <si>
    <t xml:space="preserve">Yves Saint Laurent Y Eau De Parfum Spray, 3.3 fl. oz.</t>
  </si>
  <si>
    <t xml:space="preserve">protection solaire</t>
  </si>
  <si>
    <t xml:space="preserve">Member's Mark Sunscreen Spray, SPF 50, 9.1 oz., 3 pk.</t>
  </si>
  <si>
    <t xml:space="preserve">Neutrogena Beach Defense Spray Sunscreen, SPF 50, 6.5 oz., 3 pk.</t>
  </si>
  <si>
    <t xml:space="preserve">Neutrogena Beach Defense Sunscreen Stick, SPF 50+, 2 pk.</t>
  </si>
  <si>
    <t xml:space="preserve">Neutrogena Clear Face Sunscreen Lotion, SPF 50, 2 pk.</t>
  </si>
  <si>
    <t xml:space="preserve">Neutrogena Ultra Sheer Body Mist Sunscreen Spray, SPF 70, 5 oz., 3 pk.</t>
  </si>
  <si>
    <t xml:space="preserve">Neutrogena Ultra Sheer Dry-Touch Sunscreen Lotion, SPF 70, 3 oz., 3 pk.</t>
  </si>
  <si>
    <t xml:space="preserve">Supergoop PLAY Everyday Lotion, SPF 50, Choose Size</t>
  </si>
  <si>
    <t xml:space="preserve">Supergoop Unseen Sunscreen, SPF 50, 1.7 fl. oz.</t>
  </si>
  <si>
    <t xml:space="preserve">rasage &amp; grooming</t>
  </si>
  <si>
    <t xml:space="preserve">Braun IPL7 Silk-Expert Pro 7 Laser, Women's Hair Removal Kit</t>
  </si>
  <si>
    <t xml:space="preserve">Braun Series 7 7189cc Electric Razor Shaver Kit for Men</t>
  </si>
  <si>
    <t xml:space="preserve">Braun Series 9 9430, All-In-One Electric Grooming Style Kit for Men</t>
  </si>
  <si>
    <t xml:space="preserve">Braun Silk-épil Series 7 Epilator, Woman's Electric Razor Shaver Kit</t>
  </si>
  <si>
    <t xml:space="preserve">Edge Sensitive Skin Shaving Gel for Men, 9.5 oz., 3 pk.</t>
  </si>
  <si>
    <t xml:space="preserve">Gillette Fusion5 Men's Razor Cartridges, 16 ct.</t>
  </si>
  <si>
    <t xml:space="preserve">Philips Norelco OneBlade Face and Body Electric Shaver and Trimmer</t>
  </si>
  <si>
    <t xml:space="preserve">Venus Comfortglide Women's Razor Handle + 12 Cartridges, White Tea</t>
  </si>
  <si>
    <t xml:space="preserve">Venus Extra Smooth Women's Razor, 5 Blades, 1 Handle + 11 Cartridges</t>
  </si>
  <si>
    <t xml:space="preserve">Venus Sensitive Disposable Razors for Women, 12 ct.</t>
  </si>
  <si>
    <t xml:space="preserve">skincare</t>
  </si>
  <si>
    <t xml:space="preserve">7Elements Dead Sea Facial Mud Mask, 6.88 oz., 2 pk.</t>
  </si>
  <si>
    <t xml:space="preserve">Burt's Bees 100% Natural Origin Beeswax Moisturizing Lip Balm, 8 pk.</t>
  </si>
  <si>
    <t xml:space="preserve">CeraVe Foaming Facial Cleanser, Normal to Oily Skin, 12 fl. oz., 2 pk.</t>
  </si>
  <si>
    <t xml:space="preserve">CeraVe Hydrating Facial Cleanser, Normal to Dry Skin, 12 fl. oz., 2 pk.</t>
  </si>
  <si>
    <t xml:space="preserve">Cetaphil Daily Facial Cleanser for Sensitive Skin, Combination to Oil Skin, 20 fl. oz., 2 pk.</t>
  </si>
  <si>
    <t xml:space="preserve">Cetaphil Daily Facial Cleanser, 20 fl. oz., 2 pk.</t>
  </si>
  <si>
    <t xml:space="preserve">Cetaphil Daily Facial Moisturizer with Sunscreen, SPF 15, 4 fl. oz., 3 pk.</t>
  </si>
  <si>
    <t xml:space="preserve">Cetaphil Gentle Cleansing Bar, 4.5 oz., 6 ct.</t>
  </si>
  <si>
    <t xml:space="preserve">Cetaphil Gentle Foaming Cleanser, 8 fl. oz., 3 pk.</t>
  </si>
  <si>
    <t xml:space="preserve">Cetaphil Moisturizing Cream for Dry to Very Dry Skin, Unscented, 16 oz., 2 pk.</t>
  </si>
  <si>
    <t xml:space="preserve">Cetaphil Oil Removing Foam Wash, 8 fl. oz., 3 pk.</t>
  </si>
  <si>
    <t xml:space="preserve">ChapStick Honey Variety Pack, 12 ct.</t>
  </si>
  <si>
    <t xml:space="preserve">Drunk Elephant C-Firma Fresh Day Serum Set</t>
  </si>
  <si>
    <t xml:space="preserve">Laneige Lip Sleeping Mask EX, Berry</t>
  </si>
  <si>
    <t xml:space="preserve">Mario Badescu Clear &amp; Refresh Essentials Kit, 3 pc.</t>
  </si>
  <si>
    <t xml:space="preserve">Member's Mark Facial Cleansing Towelettes, 20 ct., 8 pk.</t>
  </si>
  <si>
    <t xml:space="preserve">NatureWell Everything Balm, 2 oz., 2 pk.</t>
  </si>
  <si>
    <t xml:space="preserve">NatureWell Hydrating Lip Masks, 3 pk.</t>
  </si>
  <si>
    <t xml:space="preserve">Neutrogena Collagen Bank Moisturizer Sunscreen, SPF 30, 2 fl. oz., 2 pk.</t>
  </si>
  <si>
    <t xml:space="preserve">Neutrogena Hydro Boost 48-Hour Gel Cream Face Moisturizer, 1.7 fl. oz., 3 pk.</t>
  </si>
  <si>
    <t xml:space="preserve">Neutrogena Hydro Boost Hydrating Gel Cleanser, 7.8 fl. oz., 3 pk.</t>
  </si>
  <si>
    <t xml:space="preserve">Neutrogena Makeup Remover &amp; Night Calming Cleansing Towelettes, 25 ct., 5 pk.</t>
  </si>
  <si>
    <t xml:space="preserve">Neutrogena Oil-Free Acne Face Wash, 9.1 fl. oz., 2 pk.</t>
  </si>
  <si>
    <t xml:space="preserve">Neutrogena Stubborn Acne Blemish Patches, 24 ct., 3 pk.</t>
  </si>
  <si>
    <t xml:space="preserve">No7 Lift &amp; Luminate Day and Night Cream Set</t>
  </si>
  <si>
    <t xml:space="preserve">No7 Restore &amp; Renew Day and Night Cream Set</t>
  </si>
  <si>
    <t xml:space="preserve">No7 Restore &amp; Renew Eye Cream + Face &amp; Neck Serum Pack</t>
  </si>
  <si>
    <t xml:space="preserve">Obagi CLENZIDERM M.D. Acne Therapeutic System</t>
  </si>
  <si>
    <t xml:space="preserve">Olay Complete + Sensitive Moisturizer, SPF 40, 6 fl. oz., 2 pk.</t>
  </si>
  <si>
    <t xml:space="preserve">Olay Complete Sensitive Moisturizer, SPF 15, 6 fl. oz., 2 ct.</t>
  </si>
  <si>
    <t xml:space="preserve">Olay Eyes Ultimate All-In-One Eye Cream, 0.4 fl. oz., 2 pk.</t>
  </si>
  <si>
    <t xml:space="preserve">Olay Facial Cleanser and Detoxifying Pore Scrub Duo Kit</t>
  </si>
  <si>
    <t xml:space="preserve">Olay Regenerist Vitamin C + Peptide 24 Serum, 1.3 fl. oz., 2 pk.</t>
  </si>
  <si>
    <t xml:space="preserve">Olay Super Cream with Sunscreen, SPF 30, 1.7 oz., 2 pk.</t>
  </si>
  <si>
    <t xml:space="preserve">Olay Super Eyes, Daily Eye Serum, 0.45 fl. oz., 2 pk.</t>
  </si>
  <si>
    <t xml:space="preserve">Olay Super Glow Essentials Kit</t>
  </si>
  <si>
    <t xml:space="preserve">Olay Super Serum, 1 fl. oz., 2 pk.</t>
  </si>
  <si>
    <t xml:space="preserve">Olay Total Effects Face Moisturizer, SPF 15, 3.4 fl. oz.</t>
  </si>
  <si>
    <t xml:space="preserve">Olay Ultimate 3-in-1 Hydrating Moisturizer, 1.7 oz., 2 pk.</t>
  </si>
  <si>
    <t xml:space="preserve">Olay Ultimate Vitamin C Hydrating Moisturizer, 1.7 oz., 2 pk.</t>
  </si>
  <si>
    <t xml:space="preserve">PanOxyl Acne Foaming Wash, 10% Benzoyl Peroxide, 5.5 oz., 2 pk.</t>
  </si>
  <si>
    <t xml:space="preserve">RoC Hydration+ Replumping Serum Stick, 0.7 fl. oz., 2 pk.</t>
  </si>
  <si>
    <t xml:space="preserve">TruSkin Vitamin C Serum, 1.3 oz., 2 pk.</t>
  </si>
  <si>
    <t xml:space="preserve">Synthèse</t>
  </si>
  <si>
    <t xml:space="preserve">Produits total</t>
  </si>
  <si>
    <t xml:space="preserve">Avec prix Dakar (bench)</t>
  </si>
  <si>
    <t xml:space="preserve">Match exact</t>
  </si>
  <si>
    <t xml:space="preserve">Match similaire</t>
  </si>
  <si>
    <t xml:space="preserve">Introuvables à Dakar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</si>
</sst>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\$#,##0.00"/>
    <numFmt numFmtId="168" formatCode="#,##0&quot; F&quot;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8B4C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8B4C"/>
        <bgColor rgb="FF008080"/>
      </patternFill>
    </fill>
    <fill>
      <patternFill patternType="solid">
        <fgColor rgb="FFE8F5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8B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F8B4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5.samsclubimages.com/asr/1afff6bb-6534-4133-a9d6-ff5523be7b79.9f63dc4080022fcb21a9d42df283c1d5.jpeg" TargetMode="External"/><Relationship Id="rId2" Type="http://schemas.openxmlformats.org/officeDocument/2006/relationships/hyperlink" Target="https://www.samsclub.com/ip/Being-CURL-POWER-Shampoo-Conditioner-Duo-12-fl-oz-2-pk/18708063309" TargetMode="External"/><Relationship Id="rId3" Type="http://schemas.openxmlformats.org/officeDocument/2006/relationships/hyperlink" Target="https://i5.samsclubimages.com/asr/903ea591-4fe1-4001-868e-d67992fccd28.f526b06869d24588fe93836d8c0260a7.jpeg" TargetMode="External"/><Relationship Id="rId4" Type="http://schemas.openxmlformats.org/officeDocument/2006/relationships/hyperlink" Target="https://www.samsclub.com/ip/Being-NOURISH-SHINE-Shampoo-Conditioner-Duo-12-fl-oz-2-pk/18693900407" TargetMode="External"/><Relationship Id="rId5" Type="http://schemas.openxmlformats.org/officeDocument/2006/relationships/hyperlink" Target="https://i5.samsclubimages.com/asr/3d032102-63d9-40da-a1e2-d97e596f4fb3.05eb401e9f963708ee260a1efadf73b7.jpeg" TargetMode="External"/><Relationship Id="rId6" Type="http://schemas.openxmlformats.org/officeDocument/2006/relationships/hyperlink" Target="https://www.samsclub.com/ip/Davines-This-is-a-Medium-Hair-Spray-Flexible-Hold-Styling-12-fl-oz/17766409750" TargetMode="External"/><Relationship Id="rId7" Type="http://schemas.openxmlformats.org/officeDocument/2006/relationships/hyperlink" Target="https://www.universcosmetix.com/product/garnier-fructis-shampooing-hair-food-aloe-vera-400-ml/" TargetMode="External"/><Relationship Id="rId8" Type="http://schemas.openxmlformats.org/officeDocument/2006/relationships/hyperlink" Target="https://i5.samsclubimages.com/asr/e6d3a217-74ec-401f-9cb2-528a315019cf.87d7a5846ea720e059b7d3184174d3aa.jpeg" TargetMode="External"/><Relationship Id="rId9" Type="http://schemas.openxmlformats.org/officeDocument/2006/relationships/hyperlink" Target="https://www.samsclub.com/ip/Garnier-Fructis-Sleek-Shine-Shampoo-Conditioner-40-fl-oz-2-pk/13882458966" TargetMode="External"/><Relationship Id="rId10" Type="http://schemas.openxmlformats.org/officeDocument/2006/relationships/hyperlink" Target="https://i5.samsclubimages.com/asr/f518322a-b877-463b-8f63-83aa2b15601f.cce8f272358d848212f3c8a4060be077.jpeg" TargetMode="External"/><Relationship Id="rId11" Type="http://schemas.openxmlformats.org/officeDocument/2006/relationships/hyperlink" Target="https://www.samsclub.com/ip/Hairmax-Pro-12-LaserComb-Hair-Growth-Bundle/13898112594" TargetMode="External"/><Relationship Id="rId12" Type="http://schemas.openxmlformats.org/officeDocument/2006/relationships/hyperlink" Target="https://i5.samsclubimages.com/asr/0b19263c-7f95-484a-af8c-89a4c7166459.1052dc383359d6a6b95295077cf3a915.jpeg" TargetMode="External"/><Relationship Id="rId13" Type="http://schemas.openxmlformats.org/officeDocument/2006/relationships/hyperlink" Target="https://www.samsclub.com/ip/MONDAY-Haircare-ORIGINAL-Dry-Shampoo-Trio-5-1-oz-3-pk/18669451655" TargetMode="External"/><Relationship Id="rId14" Type="http://schemas.openxmlformats.org/officeDocument/2006/relationships/hyperlink" Target="https://i5.samsclubimages.com/asr/d9f7a5a3-365f-4898-9710-5cfe8b2abcd2.9338bd3ad3f2b09697b846cd5d0b5392.jpeg" TargetMode="External"/><Relationship Id="rId15" Type="http://schemas.openxmlformats.org/officeDocument/2006/relationships/hyperlink" Target="https://www.samsclub.com/ip/MONDAY-Haircare-SMOOTH-Shampoo-and-Conditioner-Set/14985553578" TargetMode="External"/><Relationship Id="rId16" Type="http://schemas.openxmlformats.org/officeDocument/2006/relationships/hyperlink" Target="https://i5.samsclubimages.com/asr/748e97f4-1f6a-4bb3-b785-b2f8b5859ca3.7b40402bdf56f7b04db4cc5297224432.jpeg" TargetMode="External"/><Relationship Id="rId17" Type="http://schemas.openxmlformats.org/officeDocument/2006/relationships/hyperlink" Target="https://www.samsclub.com/ip/MONDAY-Haircare-ULTIMATE-MOISTURE-Gift-Set/15490859748" TargetMode="External"/><Relationship Id="rId18" Type="http://schemas.openxmlformats.org/officeDocument/2006/relationships/hyperlink" Target="https://i5.samsclubimages.com/asr/f2536a5a-9967-4f27-b75d-db867cab7979.cac97140f5d925a9b496d583e1d056fd.jpeg" TargetMode="External"/><Relationship Id="rId19" Type="http://schemas.openxmlformats.org/officeDocument/2006/relationships/hyperlink" Target="https://www.samsclub.com/ip/Member-s-Mark-Minoxidil-5-120-Day-Foam-8-44-oz/13889063499" TargetMode="External"/><Relationship Id="rId20" Type="http://schemas.openxmlformats.org/officeDocument/2006/relationships/hyperlink" Target="https://i5.samsclubimages.com/asr/6289116e-54e6-4f37-bd2e-bec1abb67238.37d19ff3066a55aa2f25abde6ee9de5f.jpeg" TargetMode="External"/><Relationship Id="rId21" Type="http://schemas.openxmlformats.org/officeDocument/2006/relationships/hyperlink" Target="https://www.samsclub.com/ip/Member-s-Mark-Minoxidil-5-Hair-Regrowth-Treatment-for-Men-2-fl-oz-6-ct/7874211416" TargetMode="External"/><Relationship Id="rId22" Type="http://schemas.openxmlformats.org/officeDocument/2006/relationships/hyperlink" Target="https://i5.samsclubimages.com/asr/01cfaa25-4aeb-4a0e-a5d8-f98aa0c3991d.b2a793d246fdd25e31f495c5b31e4f71.jpeg" TargetMode="External"/><Relationship Id="rId23" Type="http://schemas.openxmlformats.org/officeDocument/2006/relationships/hyperlink" Target="https://www.samsclub.com/ip/Men-s-Rogaine-5-Minoxidil-Topical-Hair-Growth-Treatment-2-pack/19173421879" TargetMode="External"/><Relationship Id="rId24" Type="http://schemas.openxmlformats.org/officeDocument/2006/relationships/hyperlink" Target="https://fabellashop.com/produit/mielle-rosemary-mint-scalp-hair-serum-capillaire/" TargetMode="External"/><Relationship Id="rId25" Type="http://schemas.openxmlformats.org/officeDocument/2006/relationships/hyperlink" Target="https://i5.samsclubimages.com/asr/a25121eb-4369-42c6-88f6-265ea18a1129.853c743c68a48a37551504bb654e1f3d.jpeg" TargetMode="External"/><Relationship Id="rId26" Type="http://schemas.openxmlformats.org/officeDocument/2006/relationships/hyperlink" Target="https://www.samsclub.com/ip/Mielle-Rosemary-Mint-Scalp-Hair-Strengthening-Oil-2-oz-3-pk/17257621497" TargetMode="External"/><Relationship Id="rId27" Type="http://schemas.openxmlformats.org/officeDocument/2006/relationships/hyperlink" Target="https://i5.samsclubimages.com/asr/e3aa2714-b243-4365-ba41-52a279c8b36d.0bdbcae6d6b9fc983d47fff21a4c4040.jpeg" TargetMode="External"/><Relationship Id="rId28" Type="http://schemas.openxmlformats.org/officeDocument/2006/relationships/hyperlink" Target="https://www.samsclub.com/ip/Monday-DEEP-MOISTURE-Hair-Mask-Duo-8-4-fl-oz-2-pk/18693558851" TargetMode="External"/><Relationship Id="rId29" Type="http://schemas.openxmlformats.org/officeDocument/2006/relationships/hyperlink" Target="https://i5.samsclubimages.com/asr/72799ffb-74e4-4df5-8c2a-85ed8da922f6.ba57c5e055b4d457a386c0cf77c82f24.jpeg" TargetMode="External"/><Relationship Id="rId30" Type="http://schemas.openxmlformats.org/officeDocument/2006/relationships/hyperlink" Target="https://www.samsclub.com/ip/NatureWell-Living-For-Good-Shampoo-Conditioner-24-fl-oz-2-pk/15447105552" TargetMode="External"/><Relationship Id="rId31" Type="http://schemas.openxmlformats.org/officeDocument/2006/relationships/hyperlink" Target="https://i5.samsclubimages.com/asr/39e2a7b8-9078-41a1-8f4c-0428e553d492.12b1c308b562a1efdc8e9319e98bce16.jpeg" TargetMode="External"/><Relationship Id="rId32" Type="http://schemas.openxmlformats.org/officeDocument/2006/relationships/hyperlink" Target="https://www.samsclub.com/ip/Nexxus-Fullology-Densifying-Leave-In-Spray-8-fl-oz/15258955030" TargetMode="External"/><Relationship Id="rId33" Type="http://schemas.openxmlformats.org/officeDocument/2006/relationships/hyperlink" Target="https://i5.samsclubimages.com/asr/c0bde04b-26c3-45c7-b958-ca5faa9341c3.39cf1de7214b3c0251dd8a66edbec86a.jpeg" TargetMode="External"/><Relationship Id="rId34" Type="http://schemas.openxmlformats.org/officeDocument/2006/relationships/hyperlink" Target="https://www.samsclub.com/ip/Nexxus-Therappe-Ultimate-Moisturizing-Shampoo-42-fl-oz/13951564861" TargetMode="External"/><Relationship Id="rId35" Type="http://schemas.openxmlformats.org/officeDocument/2006/relationships/hyperlink" Target="https://i5.samsclubimages.com/asr/ace2a64b-76c1-4a9c-96f2-16e9212571dd.151569ad60994775a2c693295b4a5b18.jpeg" TargetMode="External"/><Relationship Id="rId36" Type="http://schemas.openxmlformats.org/officeDocument/2006/relationships/hyperlink" Target="https://www.samsclub.com/ip/Pantene-Pro-V-Ultimate-Care-3-in-1-Conditioner-38-2-fl-oz/8087818890" TargetMode="External"/><Relationship Id="rId37" Type="http://schemas.openxmlformats.org/officeDocument/2006/relationships/hyperlink" Target="https://i5.samsclubimages.com/asr/21033bd6-1c6c-43ef-8264-20905c46dc68.b0846ed3f17921de8f9fe83392c2e0bc.jpeg" TargetMode="External"/><Relationship Id="rId38" Type="http://schemas.openxmlformats.org/officeDocument/2006/relationships/hyperlink" Target="https://www.samsclub.com/ip/Pantene-Pro-V-Ultimate-Care-3-in-1-Shampoo-38-2-fl-oz/8087818893" TargetMode="External"/><Relationship Id="rId39" Type="http://schemas.openxmlformats.org/officeDocument/2006/relationships/hyperlink" Target="https://i5.samsclubimages.com/asr/687df2c6-5bfa-4cd9-bba6-e4835fdc116b.83a1f6a5e10e7e11f35bb9e51f241001.jpeg" TargetMode="External"/><Relationship Id="rId40" Type="http://schemas.openxmlformats.org/officeDocument/2006/relationships/hyperlink" Target="https://www.samsclub.com/ip/TRESemm-Ultimate-Moisture-Shampoo-Conditioner-39-fl-oz-2-pk/15235770451" TargetMode="External"/><Relationship Id="rId41" Type="http://schemas.openxmlformats.org/officeDocument/2006/relationships/hyperlink" Target="https://i5.samsclubimages.com/asr/1d2adadb-7ff2-495a-8478-128e599812dd.94bb4d75cc5d23575115794b711ecc69.jpeg" TargetMode="External"/><Relationship Id="rId42" Type="http://schemas.openxmlformats.org/officeDocument/2006/relationships/hyperlink" Target="https://www.samsclub.com/ip/The-LaserBand-41-ComfortFlex-Hair-Growth-Bundle/13874300498" TargetMode="External"/><Relationship Id="rId43" Type="http://schemas.openxmlformats.org/officeDocument/2006/relationships/hyperlink" Target="https://www.universcosmetix.com/product/eucerin-aquaphor-baume-reparateur-cutane-198-g/" TargetMode="External"/><Relationship Id="rId44" Type="http://schemas.openxmlformats.org/officeDocument/2006/relationships/hyperlink" Target="https://i5.samsclubimages.com/asr/d7054d3b-2144-4553-8e7e-617beba63315.8f1acab5f2f7ddd8ee3f96d7d295b702.jpeg" TargetMode="External"/><Relationship Id="rId45" Type="http://schemas.openxmlformats.org/officeDocument/2006/relationships/hyperlink" Target="https://www.samsclub.com/ip/Aquaphor-Advanced-Therapy-Healing-Ointment-Dual-Pack/15400700306" TargetMode="External"/><Relationship Id="rId46" Type="http://schemas.openxmlformats.org/officeDocument/2006/relationships/hyperlink" Target="https://www.universcosmetix.com/product/aveeno-lotion-lait-corporel-hydratant-peaux-tres-seches-skin-relief-nourishing-300ml/" TargetMode="External"/><Relationship Id="rId47" Type="http://schemas.openxmlformats.org/officeDocument/2006/relationships/hyperlink" Target="https://i5.samsclubimages.com/asr/644765b1-a6a6-4301-807f-69b6e320bb1d.be28ff29ce2c8084a37322bd51174bd4.jpeg" TargetMode="External"/><Relationship Id="rId48" Type="http://schemas.openxmlformats.org/officeDocument/2006/relationships/hyperlink" Target="https://www.samsclub.com/ip/Aveeno-Daily-Moisturizing-Body-Lotion-Set/13906605339" TargetMode="External"/><Relationship Id="rId49" Type="http://schemas.openxmlformats.org/officeDocument/2006/relationships/hyperlink" Target="https://i5.samsclubimages.com/asr/f20452ee-dfa7-497e-8258-9b38ccd2d159.366d19a6a2637402c2277346bd8bca7f.jpeg" TargetMode="External"/><Relationship Id="rId50" Type="http://schemas.openxmlformats.org/officeDocument/2006/relationships/hyperlink" Target="https://www.samsclub.com/ip/Caress-Daily-Silk-Hydrating-Body-Wash-White-Peach-Orange-Blossom-30-fl-oz-2-pk/13880458086" TargetMode="External"/><Relationship Id="rId51" Type="http://schemas.openxmlformats.org/officeDocument/2006/relationships/hyperlink" Target="https://sengarmi.sn/cerave-dakar-guide-complet/" TargetMode="External"/><Relationship Id="rId52" Type="http://schemas.openxmlformats.org/officeDocument/2006/relationships/hyperlink" Target="https://i5.samsclubimages.com/asr/3e9b1784-ae7e-4d43-a329-ad1a8354c26c.6d245154d258a1ba62e3996cfbb80c0e.jpeg" TargetMode="External"/><Relationship Id="rId53" Type="http://schemas.openxmlformats.org/officeDocument/2006/relationships/hyperlink" Target="https://www.samsclub.com/ip/CeraVe-Daily-Moisturizing-Cream-Multi-Pack/17297302580" TargetMode="External"/><Relationship Id="rId54" Type="http://schemas.openxmlformats.org/officeDocument/2006/relationships/hyperlink" Target="https://sengarmi.sn/cerave-dakar-guide-complet/" TargetMode="External"/><Relationship Id="rId55" Type="http://schemas.openxmlformats.org/officeDocument/2006/relationships/hyperlink" Target="https://i5.samsclubimages.com/asr/3e0a8f8a-6fd5-4202-bad1-50cfe9f206d8.23e626e0bb0fedd602e26a0e2733d2bb.jpeg" TargetMode="External"/><Relationship Id="rId56" Type="http://schemas.openxmlformats.org/officeDocument/2006/relationships/hyperlink" Target="https://www.samsclub.com/ip/CeraVe-Daily-Moisturizing-Lotion-Normal-to-Dry-Skin-12-fl-oz-2-pk/13875317747" TargetMode="External"/><Relationship Id="rId57" Type="http://schemas.openxmlformats.org/officeDocument/2006/relationships/hyperlink" Target="https://fabellashop.com/produit/dove-pain-de-toilette-exfoliant-doux/" TargetMode="External"/><Relationship Id="rId58" Type="http://schemas.openxmlformats.org/officeDocument/2006/relationships/hyperlink" Target="https://i5.samsclubimages.com/asr/d5ef76bb-d55f-4998-9f49-c46a9b472b04.971332ff9e07d65a12e4df7e54e11947.jpeg" TargetMode="External"/><Relationship Id="rId59" Type="http://schemas.openxmlformats.org/officeDocument/2006/relationships/hyperlink" Target="https://www.samsclub.com/ip/Dove-Beauty-Bar-Soap-Original-White-3-75-oz-16-ct/1111126134" TargetMode="External"/><Relationship Id="rId60" Type="http://schemas.openxmlformats.org/officeDocument/2006/relationships/hyperlink" Target="https://fabellashop.com/produit/dove-pain-de-toilette-exfoliant-doux/" TargetMode="External"/><Relationship Id="rId61" Type="http://schemas.openxmlformats.org/officeDocument/2006/relationships/hyperlink" Target="https://i5.samsclubimages.com/asr/7d14a0cc-407e-4af6-aefa-5b7ed22620bd.1cc4421a766c40a7311ae7a86553aa67.jpeg" TargetMode="External"/><Relationship Id="rId62" Type="http://schemas.openxmlformats.org/officeDocument/2006/relationships/hyperlink" Target="https://www.samsclub.com/ip/Dove-Beauty-Bar-Soap-Sensitive-Skin-3-75-oz-16-ct/1111101870" TargetMode="External"/><Relationship Id="rId63" Type="http://schemas.openxmlformats.org/officeDocument/2006/relationships/hyperlink" Target="https://fabellashop.com/produit/dove-rebalancing-gel-douche-reequilibrant-parfum-peche-blanche-lait-de-riz/" TargetMode="External"/><Relationship Id="rId64" Type="http://schemas.openxmlformats.org/officeDocument/2006/relationships/hyperlink" Target="https://i5.samsclubimages.com/asr/9232e81f-5e97-4898-a2c3-3002cdaf47c9.492e14d63aa816eb8391c41a32c9af3e.jpeg" TargetMode="External"/><Relationship Id="rId65" Type="http://schemas.openxmlformats.org/officeDocument/2006/relationships/hyperlink" Target="https://www.samsclub.com/ip/Dove-Deep-Moisture-Body-Wash-with-Pump-30-6-fl-oz-2-ct/15268065690" TargetMode="External"/><Relationship Id="rId66" Type="http://schemas.openxmlformats.org/officeDocument/2006/relationships/hyperlink" Target="https://www.universcosmetix.com/product/dove-men-care-clean-comfort-gel-de-douche-3in1-hydratant-250-ml/" TargetMode="External"/><Relationship Id="rId67" Type="http://schemas.openxmlformats.org/officeDocument/2006/relationships/hyperlink" Target="https://i5.samsclubimages.com/asr/5f087670-a449-4be6-a6c8-41dede3009cf.970ba7f9d7e2ef3918a1f82591ab8908.jpeg" TargetMode="External"/><Relationship Id="rId68" Type="http://schemas.openxmlformats.org/officeDocument/2006/relationships/hyperlink" Target="https://www.samsclub.com/ip/Dove-Men-Care-Sandalwood-Body-Wash-26-fl-oz-2-pk/15234863258" TargetMode="External"/><Relationship Id="rId69" Type="http://schemas.openxmlformats.org/officeDocument/2006/relationships/hyperlink" Target="https://fabellashop.com/produit/dove-purely-pampering-gel-douche-au-beurre-de-karite-vanille/" TargetMode="External"/><Relationship Id="rId70" Type="http://schemas.openxmlformats.org/officeDocument/2006/relationships/hyperlink" Target="https://i5.samsclubimages.com/asr/aefed7c3-a7a3-40f6-b5ae-388643e2a424.53ee2112a853958776eaf46c8095ad8c.jpeg" TargetMode="External"/><Relationship Id="rId71" Type="http://schemas.openxmlformats.org/officeDocument/2006/relationships/hyperlink" Target="https://www.samsclub.com/ip/Dove-Pamper-Anti-Stress-Body-Wash-30-6-fl-oz-2-pk/17510568857" TargetMode="External"/><Relationship Id="rId72" Type="http://schemas.openxmlformats.org/officeDocument/2006/relationships/hyperlink" Target="https://fabellashop.com/produit/dove-indulge-gel-douche-a-la-vanille-chaude-creme-douce/" TargetMode="External"/><Relationship Id="rId73" Type="http://schemas.openxmlformats.org/officeDocument/2006/relationships/hyperlink" Target="https://i5.samsclubimages.com/asr/3edb8187-3a2b-42c6-a6fa-20dc00dfefe1.f5843336e0d5ba63257d00a32e2139dd.jpeg" TargetMode="External"/><Relationship Id="rId74" Type="http://schemas.openxmlformats.org/officeDocument/2006/relationships/hyperlink" Target="https://www.samsclub.com/ip/Dove-Sensitive-Skin-Body-Wash-with-Pump-30-6-fl-oz-2-ct/15258106780" TargetMode="External"/><Relationship Id="rId75" Type="http://schemas.openxmlformats.org/officeDocument/2006/relationships/hyperlink" Target="https://fabellashop.com/produit/irish-spring-spring-original-savon-deodorant/" TargetMode="External"/><Relationship Id="rId76" Type="http://schemas.openxmlformats.org/officeDocument/2006/relationships/hyperlink" Target="https://i5.samsclubimages.com/asr/f970bb68-d21a-4db5-9ddb-a265522f31a0.2ca856db82b99bc1373a178e67ab038a.jpeg" TargetMode="External"/><Relationship Id="rId77" Type="http://schemas.openxmlformats.org/officeDocument/2006/relationships/hyperlink" Target="https://www.samsclub.com/ip/Irish-Spring-Body-Wash-for-Men-Original-Clean-30-fl-oz-2-pk/13876017864" TargetMode="External"/><Relationship Id="rId78" Type="http://schemas.openxmlformats.org/officeDocument/2006/relationships/hyperlink" Target="https://i5.samsclubimages.com/asr/791b377a-235b-4a30-917d-f7619770f5b2.df68d35c1d541ac021b44eac741482a3.jpeg" TargetMode="External"/><Relationship Id="rId79" Type="http://schemas.openxmlformats.org/officeDocument/2006/relationships/hyperlink" Target="https://www.samsclub.com/ip/Member-s-Mark-Aloe-Vera-Moisturizing-Hand-Soap-80-fl-oz/13952103236" TargetMode="External"/><Relationship Id="rId80" Type="http://schemas.openxmlformats.org/officeDocument/2006/relationships/hyperlink" Target="https://i5.samsclubimages.com/asr/62e12cec-1ea3-49aa-b61f-c56950b0409a.c6d82846cd830c25eda85a55b725ffec.jpeg" TargetMode="External"/><Relationship Id="rId81" Type="http://schemas.openxmlformats.org/officeDocument/2006/relationships/hyperlink" Target="https://www.samsclub.com/ip/Neutrogena-Rainbath-Refreshing-Shower-and-Bath-Gel-Original-40-fl-oz/7050104077" TargetMode="External"/><Relationship Id="rId82" Type="http://schemas.openxmlformats.org/officeDocument/2006/relationships/hyperlink" Target="https://i5.samsclubimages.com/asr/7548e4ef-14f9-407d-91cd-c2dfd9fee511.337eafb989877de1752557bfa05837c1.jpeg" TargetMode="External"/><Relationship Id="rId83" Type="http://schemas.openxmlformats.org/officeDocument/2006/relationships/hyperlink" Target="https://www.samsclub.com/ip/Nutrius-Brazilian-Body-Butter-Cream-12-fl-oz/20170809693" TargetMode="External"/><Relationship Id="rId84" Type="http://schemas.openxmlformats.org/officeDocument/2006/relationships/hyperlink" Target="https://i5.samsclubimages.com/asr/37e7192f-27c6-4ab0-a68c-94980d2cabba.118562127b7ff772b9653ad32b7512dc.jpeg" TargetMode="External"/><Relationship Id="rId85" Type="http://schemas.openxmlformats.org/officeDocument/2006/relationships/hyperlink" Target="https://www.samsclub.com/ip/O-Keeffe-s-Healthy-Feet-and-Healthy-Feet-Night-Treatment-3-oz-3-pk/13765706223" TargetMode="External"/><Relationship Id="rId86" Type="http://schemas.openxmlformats.org/officeDocument/2006/relationships/hyperlink" Target="https://i5.samsclubimages.com/asr/b80bc27c-184c-4428-b408-018eb3743565.1fd02c91e65b11737312420bb976bed3.jpeg" TargetMode="External"/><Relationship Id="rId87" Type="http://schemas.openxmlformats.org/officeDocument/2006/relationships/hyperlink" Target="https://www.samsclub.com/ip/O-Keeffe-s-Healthy-Feet-and-Lip-Repair-Variety-Kit/13888114697" TargetMode="External"/><Relationship Id="rId88" Type="http://schemas.openxmlformats.org/officeDocument/2006/relationships/hyperlink" Target="https://i5.samsclubimages.com/asr/d9509ab0-1bbf-4b94-9d07-c8b5bc9d0b8c.e54b3520ba2d0c221e204521f0fee68a.jpeg" TargetMode="External"/><Relationship Id="rId89" Type="http://schemas.openxmlformats.org/officeDocument/2006/relationships/hyperlink" Target="https://www.samsclub.com/ip/O-Keeffe-s-Working-Hands-and-Night-Treatment-3-oz-3-pk/13886961571" TargetMode="External"/><Relationship Id="rId90" Type="http://schemas.openxmlformats.org/officeDocument/2006/relationships/hyperlink" Target="https://fabellashop.com/produit/olay-fresh-radiance-gel-douche-eclat-frais-pasteque-et-agave/" TargetMode="External"/><Relationship Id="rId91" Type="http://schemas.openxmlformats.org/officeDocument/2006/relationships/hyperlink" Target="https://i5.samsclubimages.com/asr/db99bd97-2a5a-4929-bc24-9b11b01997ad.fe700d0e0a463fe9a23abf9dc958bcc3.jpeg" TargetMode="External"/><Relationship Id="rId92" Type="http://schemas.openxmlformats.org/officeDocument/2006/relationships/hyperlink" Target="https://www.samsclub.com/ip/Olay-Fresh-Outlast-Body-Wash-with-Vitamin-B3-Complex-35-oz-2-pk/16539273554" TargetMode="External"/><Relationship Id="rId93" Type="http://schemas.openxmlformats.org/officeDocument/2006/relationships/hyperlink" Target="https://www.universcosmetix.com/product/olay-gel-douche-regenerant-vitamine-b3-et-retinol-591-ml/" TargetMode="External"/><Relationship Id="rId94" Type="http://schemas.openxmlformats.org/officeDocument/2006/relationships/hyperlink" Target="https://i5.samsclubimages.com/asr/877502cb-36d8-4ad3-ba20-2fe48c842a4b.bdc513daa7de868f7cb3e2dd81928c72.jpeg" TargetMode="External"/><Relationship Id="rId95" Type="http://schemas.openxmlformats.org/officeDocument/2006/relationships/hyperlink" Target="https://www.samsclub.com/ip/Olay-Indulgent-Moisture-Scrub-Bodywash-Duo-Pack/17230518125" TargetMode="External"/><Relationship Id="rId96" Type="http://schemas.openxmlformats.org/officeDocument/2006/relationships/hyperlink" Target="https://i5.samsclubimages.com/asr/64d96701-6f2a-49d5-8108-31ca8ae0ba13.0f769c45995331b77da227f51caf86bc.jpeg" TargetMode="External"/><Relationship Id="rId97" Type="http://schemas.openxmlformats.org/officeDocument/2006/relationships/hyperlink" Target="https://www.samsclub.com/ip/Olay-Super-Serum-Body-Lotion-18-5-fl-oz-2-pk/18967905812" TargetMode="External"/><Relationship Id="rId98" Type="http://schemas.openxmlformats.org/officeDocument/2006/relationships/hyperlink" Target="https://www.universcosmetix.com/product/olay-gel-douche-regenerant-vitamine-b3-et-retinol-591-ml/" TargetMode="External"/><Relationship Id="rId99" Type="http://schemas.openxmlformats.org/officeDocument/2006/relationships/hyperlink" Target="https://i5.samsclubimages.com/asr/3c3b7803-d204-47cb-9a7c-15244d4663d8.6a9e292ae9e0de6ad3ed360cc1692a0c.jpeg" TargetMode="External"/><Relationship Id="rId100" Type="http://schemas.openxmlformats.org/officeDocument/2006/relationships/hyperlink" Target="https://www.samsclub.com/ip/Olay-Super-Serum-Body-Wash-20-fl-oz-2-pk/18945500533" TargetMode="External"/><Relationship Id="rId101" Type="http://schemas.openxmlformats.org/officeDocument/2006/relationships/hyperlink" Target="https://i5.samsclubimages.com/asr/8a58515c-712b-4bd2-8900-48cbe2da20bd.e7806a38c2c7041aa8e244adec4af71a.jpeg" TargetMode="External"/><Relationship Id="rId102" Type="http://schemas.openxmlformats.org/officeDocument/2006/relationships/hyperlink" Target="https://www.samsclub.com/ip/Degree-Antiperspirant-Deodorant-Shower-Clean-2-6-oz-5-pk/13893056731" TargetMode="External"/><Relationship Id="rId103" Type="http://schemas.openxmlformats.org/officeDocument/2006/relationships/hyperlink" Target="https://i5.samsclubimages.com/asr/60fe9db8-53ee-412c-873c-7ff8403809f0.0e3705c6f2b5675e100566584a9e1b12.jpeg" TargetMode="External"/><Relationship Id="rId104" Type="http://schemas.openxmlformats.org/officeDocument/2006/relationships/hyperlink" Target="https://www.samsclub.com/ip/Degree-for-Men-Advanced-Protection-Antiperspirant-Adventure-2-7-oz-5-pk/7940045664" TargetMode="External"/><Relationship Id="rId105" Type="http://schemas.openxmlformats.org/officeDocument/2006/relationships/hyperlink" Target="https://www.universcosmetix.com/product/dove-deodorant-anti-transpirant-original-48h-sans-alcool-150-ml/" TargetMode="External"/><Relationship Id="rId106" Type="http://schemas.openxmlformats.org/officeDocument/2006/relationships/hyperlink" Target="https://i5.samsclubimages.com/asr/abd7b919-073a-4b87-b56c-5b98498ec60f.2baa6dc40575cd6cd84632be9e934c19.jpeg" TargetMode="External"/><Relationship Id="rId107" Type="http://schemas.openxmlformats.org/officeDocument/2006/relationships/hyperlink" Target="https://www.samsclub.com/ip/Dove-Whole-Body-Cooling-Deodorant-Spray-4-oz-2-pk/15222959105" TargetMode="External"/><Relationship Id="rId108" Type="http://schemas.openxmlformats.org/officeDocument/2006/relationships/hyperlink" Target="https://i5.samsclubimages.com/asr/c678a584-6297-4041-872f-c3f43e72de6e.007cb3cfbfdcd647546cbb9ce5ffaf62.jpeg" TargetMode="External"/><Relationship Id="rId109" Type="http://schemas.openxmlformats.org/officeDocument/2006/relationships/hyperlink" Target="https://www.samsclub.com/ip/Gillette-Supreme-Maximum-Strength-Protection-Men-s-Deodorant-Clear-Gel-Antiperspirant-Cool-Wave-3-8-oz-5-pk/17459250696" TargetMode="External"/><Relationship Id="rId110" Type="http://schemas.openxmlformats.org/officeDocument/2006/relationships/hyperlink" Target="https://i5.samsclubimages.com/asr/fd08a0e6-f420-48b8-ad52-ef7f0dd02aad.158c7f84df17a5ee1e8ad7476ff771d3.jpeg" TargetMode="External"/><Relationship Id="rId111" Type="http://schemas.openxmlformats.org/officeDocument/2006/relationships/hyperlink" Target="https://www.samsclub.com/ip/Native-Aluminum-Free-Deodorant-Vanilla-Variety-Pack-2-65-oz-3-pk/17447365182" TargetMode="External"/><Relationship Id="rId112" Type="http://schemas.openxmlformats.org/officeDocument/2006/relationships/hyperlink" Target="https://www.universcosmetix.com/product/old-spice-original-deodorant-solide-pour-homme-50ml/" TargetMode="External"/><Relationship Id="rId113" Type="http://schemas.openxmlformats.org/officeDocument/2006/relationships/hyperlink" Target="https://i5.samsclubimages.com/asr/bc59577f-63ee-43a1-b45c-8dcd121726eb.e5917f542e48699cc83cb632bd9adcef.jpeg" TargetMode="External"/><Relationship Id="rId114" Type="http://schemas.openxmlformats.org/officeDocument/2006/relationships/hyperlink" Target="https://www.samsclub.com/ip/Old-Spice-Fiji-Antiperspirant-Deodorant-Palm-Tree-Coconut-2-6-oz-4-pk/15056762281" TargetMode="External"/><Relationship Id="rId115" Type="http://schemas.openxmlformats.org/officeDocument/2006/relationships/hyperlink" Target="https://www.universcosmetix.com/product/old-spice-original-deodorant-solide-pour-homme-50ml/" TargetMode="External"/><Relationship Id="rId116" Type="http://schemas.openxmlformats.org/officeDocument/2006/relationships/hyperlink" Target="https://i5.samsclubimages.com/asr/6444ebdc-4188-4aee-a81b-cb4cd10cd06c.3936ecf529efe836a8a4fdacb16f6636.jpeg" TargetMode="External"/><Relationship Id="rId117" Type="http://schemas.openxmlformats.org/officeDocument/2006/relationships/hyperlink" Target="https://www.samsclub.com/ip/Old-Spice-High-Endurance-Deodorant-48-Hr-Protection-Pure-Sport-3-0-oz-5-pk/13848822580" TargetMode="External"/><Relationship Id="rId118" Type="http://schemas.openxmlformats.org/officeDocument/2006/relationships/hyperlink" Target="https://i5.samsclubimages.com/asr/afd795a3-bf1b-4dc7-a165-c27e6957069e.75843424008f3d249700102bddd7c3e3.jpeg" TargetMode="External"/><Relationship Id="rId119" Type="http://schemas.openxmlformats.org/officeDocument/2006/relationships/hyperlink" Target="https://www.samsclub.com/ip/Secret-Clinical-Strength-Invisible-Solid-Antiperspirant-Deodorant-Completely-Clean-1-6-oz-3-pk/17500502780" TargetMode="External"/><Relationship Id="rId120" Type="http://schemas.openxmlformats.org/officeDocument/2006/relationships/hyperlink" Target="https://bintabeauty.com/produit/secret-weightless-dry-spray-deodorant-anti-transpirant/" TargetMode="External"/><Relationship Id="rId121" Type="http://schemas.openxmlformats.org/officeDocument/2006/relationships/hyperlink" Target="https://i5.samsclubimages.com/asr/d769a727-8804-4ce8-bb2b-75ba900c9cd5.f0351a7e7995b3fd1347b12038d042c4.jpeg" TargetMode="External"/><Relationship Id="rId122" Type="http://schemas.openxmlformats.org/officeDocument/2006/relationships/hyperlink" Target="https://www.samsclub.com/ip/Secret-Dry-Spray-Women-s-Antiperspirant-Deodorant-Vanilla-Wild-Rose-Waterlily-4-1-oz-3-pk/13936224795" TargetMode="External"/><Relationship Id="rId123" Type="http://schemas.openxmlformats.org/officeDocument/2006/relationships/hyperlink" Target="https://i5.samsclubimages.com/asr/bed82631-797f-41b2-a2d0-9e7194ccaa2e.141c2969198124bb8f5a81c4e1c96079.jpeg" TargetMode="External"/><Relationship Id="rId124" Type="http://schemas.openxmlformats.org/officeDocument/2006/relationships/hyperlink" Target="https://www.samsclub.com/ip/Secret-Outlast-Clear-Gel-Deodorant-Completely-Clean-2-6-oz-4-pk/13874400276" TargetMode="External"/><Relationship Id="rId125" Type="http://schemas.openxmlformats.org/officeDocument/2006/relationships/hyperlink" Target="https://www.universcosmetix.com/product/colgate-dentifrice-caries-et-protection-des-gencives-total-original-75-ml/" TargetMode="External"/><Relationship Id="rId126" Type="http://schemas.openxmlformats.org/officeDocument/2006/relationships/hyperlink" Target="https://i5.samsclubimages.com/asr/1ce437aa-0045-4380-b12c-3da0471f767f.955b88cbf5001e431822a6e017bc8f1f.jpeg" TargetMode="External"/><Relationship Id="rId127" Type="http://schemas.openxmlformats.org/officeDocument/2006/relationships/hyperlink" Target="https://www.samsclub.com/ip/Colgate-Total-Whitening-Gel-Toothpaste-6-oz-5-pk/13865524624" TargetMode="External"/><Relationship Id="rId128" Type="http://schemas.openxmlformats.org/officeDocument/2006/relationships/hyperlink" Target="https://fabellashop.com/produit/crest-complete-active-fresh-dentifrice-blanchissant/" TargetMode="External"/><Relationship Id="rId129" Type="http://schemas.openxmlformats.org/officeDocument/2006/relationships/hyperlink" Target="https://i5.samsclubimages.com/asr/9a5934df-8f3b-40ad-9f5d-c7f183032b4c.06b6dd61fb39cb51f1dcdb2350308d8a.jpeg" TargetMode="External"/><Relationship Id="rId130" Type="http://schemas.openxmlformats.org/officeDocument/2006/relationships/hyperlink" Target="https://www.samsclub.com/ip/Crest-3D-White-Deep-Stain-Remover-Whitening-Toothpaste-2-1-oz-4-pk/14093471683" TargetMode="External"/><Relationship Id="rId131" Type="http://schemas.openxmlformats.org/officeDocument/2006/relationships/hyperlink" Target="https://i5.samsclubimages.com/asr/43f69e96-6c0f-4f62-a5f4-626c039cabe8.36fe75d4d0f6f7e1ec251dd598f21ada.jpeg" TargetMode="External"/><Relationship Id="rId132" Type="http://schemas.openxmlformats.org/officeDocument/2006/relationships/hyperlink" Target="https://www.samsclub.com/ip/Crest-Advantage-Clean-Breath-Mouthwash-Spearmint-33-8-fl-oz-3-pk/18896666768" TargetMode="External"/><Relationship Id="rId133" Type="http://schemas.openxmlformats.org/officeDocument/2006/relationships/hyperlink" Target="https://fabellashop.com/produit/crest-complete-active-fresh-dentifrice-blanchissant/" TargetMode="External"/><Relationship Id="rId134" Type="http://schemas.openxmlformats.org/officeDocument/2006/relationships/hyperlink" Target="https://i5.samsclubimages.com/asr/3de5b19e-60be-4bbb-8569-5141300c26c8.7394894b5d5a536307288ae40faa76a0.jpeg" TargetMode="External"/><Relationship Id="rId135" Type="http://schemas.openxmlformats.org/officeDocument/2006/relationships/hyperlink" Target="https://www.samsclub.com/ip/Crest-Complete-Scope-Outlast-Ultra-Toothpaste-6-3-oz-5-pk/14170301002" TargetMode="External"/><Relationship Id="rId136" Type="http://schemas.openxmlformats.org/officeDocument/2006/relationships/hyperlink" Target="https://bintabeauty.com/produit/crest-pro-health-gum-and-sensitivity-protection-gencives/" TargetMode="External"/><Relationship Id="rId137" Type="http://schemas.openxmlformats.org/officeDocument/2006/relationships/hyperlink" Target="https://i5.samsclubimages.com/asr/749fc4ee-5d11-4a19-be87-53489ff972f8.5714330c45f2f9fb9e18c405f9235a8c.jpeg" TargetMode="External"/><Relationship Id="rId138" Type="http://schemas.openxmlformats.org/officeDocument/2006/relationships/hyperlink" Target="https://www.samsclub.com/ip/Crest-Gum-Detoxify-Ultra-Toothpaste-4-7-oz-4-pk/13758564725" TargetMode="External"/><Relationship Id="rId139" Type="http://schemas.openxmlformats.org/officeDocument/2006/relationships/hyperlink" Target="https://fabellashop.com/produit/crest-advanced-kids-fluoride-toothpaste-dentifrice-anti-carie-au-fluorure-pour-enfants-couleur-changeante/" TargetMode="External"/><Relationship Id="rId140" Type="http://schemas.openxmlformats.org/officeDocument/2006/relationships/hyperlink" Target="https://i5.samsclubimages.com/asr/f103ba48-f8cd-4259-b77f-1fd020ecde9f.063cdc332dae9b183736a7cfcf3a809f.jpeg" TargetMode="External"/><Relationship Id="rId141" Type="http://schemas.openxmlformats.org/officeDocument/2006/relationships/hyperlink" Target="https://www.samsclub.com/ip/Crest-Kid-s-Advanced-Color-Changing-Toothpaste-Strawberry-4-2-oz-4-pk/15235268738" TargetMode="External"/><Relationship Id="rId142" Type="http://schemas.openxmlformats.org/officeDocument/2006/relationships/hyperlink" Target="https://fabellashop.com/produit/crest-advanced-kids-fluoride-toothpaste-dentifrice-anti-carie-au-fluorure-pour-enfants-couleur-changeante/" TargetMode="External"/><Relationship Id="rId143" Type="http://schemas.openxmlformats.org/officeDocument/2006/relationships/hyperlink" Target="https://i5.samsclubimages.com/asr/a94aeebd-4e78-47fc-99e4-577c3d76a951.2647f03de4ee93231bc55847917f8f4f.jpeg" TargetMode="External"/><Relationship Id="rId144" Type="http://schemas.openxmlformats.org/officeDocument/2006/relationships/hyperlink" Target="https://www.samsclub.com/ip/Crest-Kid-s-Toothpaste-Sparkle-Fun-4-6-oz-5-pk/3700082349" TargetMode="External"/><Relationship Id="rId145" Type="http://schemas.openxmlformats.org/officeDocument/2006/relationships/hyperlink" Target="https://bintabeauty.com/produit/crest-pro-health-sensitive-enamel-shield-dentifrice/" TargetMode="External"/><Relationship Id="rId146" Type="http://schemas.openxmlformats.org/officeDocument/2006/relationships/hyperlink" Target="https://i5.samsclubimages.com/asr/9a46888e-ede4-4adc-b4ed-cceef9ec86f5.16109f1063b295a7c9404cb8286bb2f6.jpeg" TargetMode="External"/><Relationship Id="rId147" Type="http://schemas.openxmlformats.org/officeDocument/2006/relationships/hyperlink" Target="https://www.samsclub.com/ip/Crest-Pro-Health-Advanced-Whitening-Intensive-Clean-Toothpaste-5-8-oz-5-pk/13879354527" TargetMode="External"/><Relationship Id="rId148" Type="http://schemas.openxmlformats.org/officeDocument/2006/relationships/hyperlink" Target="https://bintabeauty.com/produit/crest-pro-health-multi-protection-clean-mint-bain-de-bouche/" TargetMode="External"/><Relationship Id="rId149" Type="http://schemas.openxmlformats.org/officeDocument/2006/relationships/hyperlink" Target="https://i5.samsclubimages.com/asr/f084d11b-34a3-4869-9482-89feed4e7a12.a1a1f037056319ebecba34eed84c5652.jpeg" TargetMode="External"/><Relationship Id="rId150" Type="http://schemas.openxmlformats.org/officeDocument/2006/relationships/hyperlink" Target="https://www.samsclub.com/ip/Crest-Pro-Health-Advantage-Multi-Protection-Mouthwash-Smooth-Mint-33-8-fl-oz-3-pk/3700069365" TargetMode="External"/><Relationship Id="rId151" Type="http://schemas.openxmlformats.org/officeDocument/2006/relationships/hyperlink" Target="https://i5.samsclubimages.com/asr/fcbfe695-bc39-4714-8246-fc925e963bbd.f398a3b63a82887f8f8c4fd2329b2430.jpeg" TargetMode="External"/><Relationship Id="rId152" Type="http://schemas.openxmlformats.org/officeDocument/2006/relationships/hyperlink" Target="https://www.samsclub.com/ip/Crest-Scope-Outlast-Mouthwash-Fresh-Mint-33-8-fl-oz-3-pk/13603804819" TargetMode="External"/><Relationship Id="rId153" Type="http://schemas.openxmlformats.org/officeDocument/2006/relationships/hyperlink" Target="https://www.universcosmetix.com/product/listerine-bain-de-bouche-fraicheur-gout-plus-leger-500-ml/" TargetMode="External"/><Relationship Id="rId154" Type="http://schemas.openxmlformats.org/officeDocument/2006/relationships/hyperlink" Target="https://i5.samsclubimages.com/asr/096ba03b-b55a-4ebc-bbf6-acea101ff25f.6f2b00623c5a4c0f2a99d0c2482d0416.jpeg" TargetMode="External"/><Relationship Id="rId155" Type="http://schemas.openxmlformats.org/officeDocument/2006/relationships/hyperlink" Target="https://www.samsclub.com/ip/Listerine-Antiseptic-Original-Mouthwash-50-7-fl-oz-2-pk/31254770111" TargetMode="External"/><Relationship Id="rId156" Type="http://schemas.openxmlformats.org/officeDocument/2006/relationships/hyperlink" Target="https://www.universcosmetix.com/product/listerine-bain-de-bouche-fraicheur-gout-plus-leger-500-ml/" TargetMode="External"/><Relationship Id="rId157" Type="http://schemas.openxmlformats.org/officeDocument/2006/relationships/hyperlink" Target="https://i5.samsclubimages.com/asr/92152a34-6574-437f-a8ed-3d4a1028b099.f8f9a5f6377b5bda7bd6cd2bc2eeec27.jpeg" TargetMode="External"/><Relationship Id="rId158" Type="http://schemas.openxmlformats.org/officeDocument/2006/relationships/hyperlink" Target="https://www.samsclub.com/ip/Listerine-Cool-Mint-Antiseptic-Mouthwash-50-7-fl-oz-2-pk/31254742739" TargetMode="External"/><Relationship Id="rId159" Type="http://schemas.openxmlformats.org/officeDocument/2006/relationships/hyperlink" Target="https://pharmec.sn/produit/listerine-feuille-de-menthe/" TargetMode="External"/><Relationship Id="rId160" Type="http://schemas.openxmlformats.org/officeDocument/2006/relationships/hyperlink" Target="https://i5.samsclubimages.com/asr/9cec8b11-0dda-4c10-b784-4b088e4f3740.f00b89a4cba273a48ad076bb94be9b63.jpeg" TargetMode="External"/><Relationship Id="rId161" Type="http://schemas.openxmlformats.org/officeDocument/2006/relationships/hyperlink" Target="https://www.samsclub.com/ip/Listerine-Cool-Mint-PocketPaks-72-Strip-Pack-6-pk/15242107157" TargetMode="External"/><Relationship Id="rId162" Type="http://schemas.openxmlformats.org/officeDocument/2006/relationships/hyperlink" Target="https://fabellashop.com/produit/listerine-naturals-bain-de-bouche-protection-gencives-gout-menthe/" TargetMode="External"/><Relationship Id="rId163" Type="http://schemas.openxmlformats.org/officeDocument/2006/relationships/hyperlink" Target="https://i5.samsclubimages.com/asr/31efe6cb-0360-4b59-8883-7f9c89227fac.7549c9665ca06a3a5666304f9ba1c2b2.jpeg" TargetMode="External"/><Relationship Id="rId164" Type="http://schemas.openxmlformats.org/officeDocument/2006/relationships/hyperlink" Target="https://www.samsclub.com/ip/Listerine-Gum-Therapy-Anti-Gingivitis-Glacier-Mint-Mouthwash-50-72-fl-oz-2-pk/13898420467" TargetMode="External"/><Relationship Id="rId165" Type="http://schemas.openxmlformats.org/officeDocument/2006/relationships/hyperlink" Target="https://i5.samsclubimages.com/asr/281bace8-0c30-457a-aca7-7d994503630b.d6ed470bb61c2008f85fc37d3314a764.jpeg" TargetMode="External"/><Relationship Id="rId166" Type="http://schemas.openxmlformats.org/officeDocument/2006/relationships/hyperlink" Target="https://www.samsclub.com/ip/Listerine-On-The-Go-Cool-Mint-Mouthwash-Sachets-Alcohol-Free-45-ct/18946417476" TargetMode="External"/><Relationship Id="rId167" Type="http://schemas.openxmlformats.org/officeDocument/2006/relationships/hyperlink" Target="https://www.universcosmetix.com/product/listerine-total-care-bain-bouche-anti-tartre-haleine-fraiche-menthe-arctique-500ml/" TargetMode="External"/><Relationship Id="rId168" Type="http://schemas.openxmlformats.org/officeDocument/2006/relationships/hyperlink" Target="https://i5.samsclubimages.com/asr/2a0af454-589a-4025-b7cc-f64577cea6ca.f321ec2ea6d0ac8514a6aeff3b0a4043.jpeg" TargetMode="External"/><Relationship Id="rId169" Type="http://schemas.openxmlformats.org/officeDocument/2006/relationships/hyperlink" Target="https://www.samsclub.com/ip/Listerine-Total-Care-Fresh-Mint-Mouthwash-33-8-fl-oz-3-pk/31254793698" TargetMode="External"/><Relationship Id="rId170" Type="http://schemas.openxmlformats.org/officeDocument/2006/relationships/hyperlink" Target="https://www.universcosmetix.com/product/parodontax-dentifrice-original-lot-de-2-x-75-ml/" TargetMode="External"/><Relationship Id="rId171" Type="http://schemas.openxmlformats.org/officeDocument/2006/relationships/hyperlink" Target="https://i5.samsclubimages.com/asr/26c63c0b-532f-435d-841f-67d574365a7d.c48a4d00171b9306260d0d3667495421.jpeg" TargetMode="External"/><Relationship Id="rId172" Type="http://schemas.openxmlformats.org/officeDocument/2006/relationships/hyperlink" Target="https://www.samsclub.com/ip/Parodontax-Active-Gum-Repair-Toothpaste-3-4-oz-5-pk/19209063521" TargetMode="External"/><Relationship Id="rId173" Type="http://schemas.openxmlformats.org/officeDocument/2006/relationships/hyperlink" Target="https://www.universcosmetix.com/product/sensodyne-clinical-white-stain-protector-dentifrice-blancheur-75-ml/" TargetMode="External"/><Relationship Id="rId174" Type="http://schemas.openxmlformats.org/officeDocument/2006/relationships/hyperlink" Target="https://i5.samsclubimages.com/asr/032e1c26-06b5-439c-b387-2a68323cd532.c531764cd0f56e162d12217da86500f7.jpeg" TargetMode="External"/><Relationship Id="rId175" Type="http://schemas.openxmlformats.org/officeDocument/2006/relationships/hyperlink" Target="https://www.samsclub.com/ip/Sensodyne-Pronamel-Advanced-Whitening-Toothpaste-6-5-oz-4-pk/15491668638" TargetMode="External"/><Relationship Id="rId176" Type="http://schemas.openxmlformats.org/officeDocument/2006/relationships/hyperlink" Target="https://www.universcosmetix.com/product/sensodyne-dentifrice-repare-et-protege-novamin-le-tube-de-75ml/" TargetMode="External"/><Relationship Id="rId177" Type="http://schemas.openxmlformats.org/officeDocument/2006/relationships/hyperlink" Target="https://i5.samsclubimages.com/asr/82442521-c0b7-4170-bd57-a67127fdb1d0.deeefbb2e7a8eb7ad67ee759c4a897bb.jpeg" TargetMode="External"/><Relationship Id="rId178" Type="http://schemas.openxmlformats.org/officeDocument/2006/relationships/hyperlink" Target="https://www.samsclub.com/ip/Sensodyne-Repair-Protect-Toothpaste-for-Sensitive-Teeth-3-4-oz-5-pk/31015885122" TargetMode="External"/><Relationship Id="rId179" Type="http://schemas.openxmlformats.org/officeDocument/2006/relationships/hyperlink" Target="https://fabellashop.com/produit/therabreath-fresh-breath-bain-de-bouche-haleine-fraiche-menthe-glaciale/" TargetMode="External"/><Relationship Id="rId180" Type="http://schemas.openxmlformats.org/officeDocument/2006/relationships/hyperlink" Target="https://i5.samsclubimages.com/asr/f3ee4e41-177c-4d05-9663-266ca172b29a.a152d87e5bd194393e69849f5d09db81.jpeg" TargetMode="External"/><Relationship Id="rId181" Type="http://schemas.openxmlformats.org/officeDocument/2006/relationships/hyperlink" Target="https://www.samsclub.com/ip/TheraBreath-Icy-Mint-Mouthwash-1L-2-pk/17983021537" TargetMode="External"/><Relationship Id="rId182" Type="http://schemas.openxmlformats.org/officeDocument/2006/relationships/hyperlink" Target="https://i5.samsclubimages.com/asr/ae4f0b74-0a1d-4ab2-aa09-76e942b69f6b.ca0313e0c64b486f3ee67ae85416a698.jpeg" TargetMode="External"/><Relationship Id="rId183" Type="http://schemas.openxmlformats.org/officeDocument/2006/relationships/hyperlink" Target="https://www.samsclub.com/ip/Anastasia-Beverly-Hills-Brow-Freeze-Gel/15965250981" TargetMode="External"/><Relationship Id="rId184" Type="http://schemas.openxmlformats.org/officeDocument/2006/relationships/hyperlink" Target="https://i5.samsclubimages.com/asr/0abd3502-68f9-41c1-8eaf-2f5e6d624847.d2046a76887a123d7aaf0c73b2231784.jpeg" TargetMode="External"/><Relationship Id="rId185" Type="http://schemas.openxmlformats.org/officeDocument/2006/relationships/hyperlink" Target="https://www.samsclub.com/ip/Dior-Addict-Lip-Glow-Hydrating-Lip-Gloss-Choose-Color/17406258235" TargetMode="External"/><Relationship Id="rId186" Type="http://schemas.openxmlformats.org/officeDocument/2006/relationships/hyperlink" Target="https://www.nubianbeautyshop.com/products/laura-mercier-poudre-libre-de-finition-setting-powder" TargetMode="External"/><Relationship Id="rId187" Type="http://schemas.openxmlformats.org/officeDocument/2006/relationships/hyperlink" Target="https://i5.samsclubimages.com/asr/4a4c3dbe-afc9-4697-b7d2-7869285bf9d7.bde177bc80be23ee7663d538a26d621c.jpeg" TargetMode="External"/><Relationship Id="rId188" Type="http://schemas.openxmlformats.org/officeDocument/2006/relationships/hyperlink" Target="https://www.samsclub.com/ip/Laura-Mercier-Real-Flawless-Luminous-Perfecting-Pressed-Powder-Choose-Shade/15520872821" TargetMode="External"/><Relationship Id="rId189" Type="http://schemas.openxmlformats.org/officeDocument/2006/relationships/hyperlink" Target="https://i5.samsclubimages.com/asr/7bf98865-fcf4-41b0-906b-11fc62357d79.c663c3cd96bbcb46a517da05b97cb133.jpeg" TargetMode="External"/><Relationship Id="rId190" Type="http://schemas.openxmlformats.org/officeDocument/2006/relationships/hyperlink" Target="https://www.samsclub.com/ip/NatureWell-Hydrating-Lip-PH-Tint-4-pk/17969459005" TargetMode="External"/><Relationship Id="rId191" Type="http://schemas.openxmlformats.org/officeDocument/2006/relationships/hyperlink" Target="https://i5.samsclubimages.com/asr/a171bd12-800e-46c7-a12d-6b8123bd70b2.c50aea741a9f3500807a3e8a6127eb0d.jpeg" TargetMode="External"/><Relationship Id="rId192" Type="http://schemas.openxmlformats.org/officeDocument/2006/relationships/hyperlink" Target="https://www.samsclub.com/ip/NatureWell-Nourishing-Tinted-Lip-Butter-4-pk/18021402716" TargetMode="External"/><Relationship Id="rId193" Type="http://schemas.openxmlformats.org/officeDocument/2006/relationships/hyperlink" Target="https://i5.samsclubimages.com/asr/8557b219-4f29-4f61-9212-586597bd04e8.eca6c9cc65b3f76d50cc319939f5b1af.jpeg" TargetMode="External"/><Relationship Id="rId194" Type="http://schemas.openxmlformats.org/officeDocument/2006/relationships/hyperlink" Target="https://www.samsclub.com/ip/NatureWell-Tinted-Lip-Butter-0-50-oz-4-pk/13957956421" TargetMode="External"/><Relationship Id="rId195" Type="http://schemas.openxmlformats.org/officeDocument/2006/relationships/hyperlink" Target="https://i5.samsclubimages.com/asr/a28edae1-5e3b-4511-96d3-052899dae004.75e83bccaa89444ec92c1c0411da11f1.jpeg" TargetMode="External"/><Relationship Id="rId196" Type="http://schemas.openxmlformats.org/officeDocument/2006/relationships/hyperlink" Target="https://www.samsclub.com/ip/Q-tips-Cotton-Swabs-1750-ct-3-pk/30521004134" TargetMode="External"/><Relationship Id="rId197" Type="http://schemas.openxmlformats.org/officeDocument/2006/relationships/hyperlink" Target="https://www.chicwebstore.com/page-d-articles/azzaro-the-most-wanted-parfum-100ml" TargetMode="External"/><Relationship Id="rId198" Type="http://schemas.openxmlformats.org/officeDocument/2006/relationships/hyperlink" Target="https://i5.samsclubimages.com/asr/f411c669-228d-4fc6-a394-2da02f7bd346.3b0e873acca36eba94c038f7e5c2b99c.jpeg" TargetMode="External"/><Relationship Id="rId199" Type="http://schemas.openxmlformats.org/officeDocument/2006/relationships/hyperlink" Target="https://www.samsclub.com/ip/Azzaro-The-Most-Wanted-Parfum-3-38-fl-oz/16093958692" TargetMode="External"/><Relationship Id="rId200" Type="http://schemas.openxmlformats.org/officeDocument/2006/relationships/hyperlink" Target="https://fabellashop.com/marques/burberry/" TargetMode="External"/><Relationship Id="rId201" Type="http://schemas.openxmlformats.org/officeDocument/2006/relationships/hyperlink" Target="https://i5.samsclubimages.com/asr/278c5a99-143c-44b2-b5dd-9a78421c60ac.db9ded7148f12f9533a179be54660f80.jpeg" TargetMode="External"/><Relationship Id="rId202" Type="http://schemas.openxmlformats.org/officeDocument/2006/relationships/hyperlink" Target="https://www.samsclub.com/ip/Burberry-Her-Eau-de-Parfum/13599663992" TargetMode="External"/><Relationship Id="rId203" Type="http://schemas.openxmlformats.org/officeDocument/2006/relationships/hyperlink" Target="https://i5.samsclubimages.com/asr/72c26e3d-07ee-4d5b-ba9d-85bd685b4966.f311328258acbda776072101840f506f.jpeg" TargetMode="External"/><Relationship Id="rId204" Type="http://schemas.openxmlformats.org/officeDocument/2006/relationships/hyperlink" Target="https://www.samsclub.com/ip/Burberry-Touch-for-Men-Eau-De-Toilette-3-3-fl-oz/13713524505" TargetMode="External"/><Relationship Id="rId205" Type="http://schemas.openxmlformats.org/officeDocument/2006/relationships/hyperlink" Target="https://i5.samsclubimages.com/asr/e24989f5-0d6c-453a-a569-9a5f8d399248.fb30c2ec378249127af2044ae2b013b8.jpeg" TargetMode="External"/><Relationship Id="rId206" Type="http://schemas.openxmlformats.org/officeDocument/2006/relationships/hyperlink" Target="https://www.samsclub.com/ip/Calvin-Klein-CK-One-Body-Spray-5-4-oz-3-pk/13590523369" TargetMode="External"/><Relationship Id="rId207" Type="http://schemas.openxmlformats.org/officeDocument/2006/relationships/hyperlink" Target="https://www.kaynoo.sn/parfumerie/pour-hommes/ck-one-de-calvin-klein-edt-100-ml-parfum-homme.html" TargetMode="External"/><Relationship Id="rId208" Type="http://schemas.openxmlformats.org/officeDocument/2006/relationships/hyperlink" Target="https://i5.samsclubimages.com/asr/5690e36c-77f9-4d6c-8e84-53a1375081a7.6785c6e03869952923dbe17f209d94b3.jpeg" TargetMode="External"/><Relationship Id="rId209" Type="http://schemas.openxmlformats.org/officeDocument/2006/relationships/hyperlink" Target="https://www.samsclub.com/ip/Calvin-Klein-One-Eau-De-Toilette-6-7oz/16986723910" TargetMode="External"/><Relationship Id="rId210" Type="http://schemas.openxmlformats.org/officeDocument/2006/relationships/hyperlink" Target="https://www.poudrine.com/products/creed-silver-mountain-water-eau-de-parfum" TargetMode="External"/><Relationship Id="rId211" Type="http://schemas.openxmlformats.org/officeDocument/2006/relationships/hyperlink" Target="https://i5.samsclubimages.com/asr/40bb19ec-e024-4ed1-8b04-c290c2f05c65.fe3654717d29f160b72ca2d9e9bc6304.jpeg" TargetMode="External"/><Relationship Id="rId212" Type="http://schemas.openxmlformats.org/officeDocument/2006/relationships/hyperlink" Target="https://www.samsclub.com/ip/Creed-Silver-Mountain-Water-Eau-De-Parfum/13893803777" TargetMode="External"/><Relationship Id="rId213" Type="http://schemas.openxmlformats.org/officeDocument/2006/relationships/hyperlink" Target="https://www.chicwebstore.com/page-d-articles/eau-de-toilette-dolce-gabbana-light-blue-femme" TargetMode="External"/><Relationship Id="rId214" Type="http://schemas.openxmlformats.org/officeDocument/2006/relationships/hyperlink" Target="https://i5.samsclubimages.com/asr/7fbecddd-c628-4a78-80a4-1977b632aad6.be0063e1ce00cd008043ccc255eb8f06.jpeg" TargetMode="External"/><Relationship Id="rId215" Type="http://schemas.openxmlformats.org/officeDocument/2006/relationships/hyperlink" Target="https://www.samsclub.com/ip/Dolce-Gabbana-Light-Blue-for-Women-Eau-de-Toilette/15234712444" TargetMode="External"/><Relationship Id="rId216" Type="http://schemas.openxmlformats.org/officeDocument/2006/relationships/hyperlink" Target="https://www.kaynoo.sn/parfumerie/pour-hommes/parfum-de-marque-acqua-di-gio-giorgio-armani-100ml.html" TargetMode="External"/><Relationship Id="rId217" Type="http://schemas.openxmlformats.org/officeDocument/2006/relationships/hyperlink" Target="https://i5.samsclubimages.com/asr/1b02989d-d16f-4ed3-a773-fb8a39e5ef21.61ab566a71093f5f4a2972c73c44fe52.jpeg" TargetMode="External"/><Relationship Id="rId218" Type="http://schemas.openxmlformats.org/officeDocument/2006/relationships/hyperlink" Target="https://www.samsclub.com/ip/Giorgio-Armani-Acqua-di-Gio-Eau-de-Toilette/15116723274" TargetMode="External"/><Relationship Id="rId219" Type="http://schemas.openxmlformats.org/officeDocument/2006/relationships/hyperlink" Target="https://www.universcosmetix.com/product/gucci-bloom-eau-de-parfum-pour-femme-30ml/" TargetMode="External"/><Relationship Id="rId220" Type="http://schemas.openxmlformats.org/officeDocument/2006/relationships/hyperlink" Target="https://i5.samsclubimages.com/asr/097c4e88-a7f6-4999-9c3c-c9ed8402105c.9ed2ebc5ac78898889c2eedbae9a4fce.jpeg" TargetMode="External"/><Relationship Id="rId221" Type="http://schemas.openxmlformats.org/officeDocument/2006/relationships/hyperlink" Target="https://www.samsclub.com/ip/Gucci-Bloom-Eau-de-Parfum/14209420470" TargetMode="External"/><Relationship Id="rId222" Type="http://schemas.openxmlformats.org/officeDocument/2006/relationships/hyperlink" Target="https://www.universcosmetix.com/product/gucci-flora-gorgeous-gardenia-eau-de-parfum-pour-femme-30ml/" TargetMode="External"/><Relationship Id="rId223" Type="http://schemas.openxmlformats.org/officeDocument/2006/relationships/hyperlink" Target="https://i5.samsclubimages.com/asr/72598a72-8af0-4865-b5e9-e2c08a42cc21.cb24af5302e1c8c30b7cf072b1a3de5c.jpeg" TargetMode="External"/><Relationship Id="rId224" Type="http://schemas.openxmlformats.org/officeDocument/2006/relationships/hyperlink" Target="https://www.samsclub.com/ip/Gucci-Flora-Gorgeous-Gardenia-Eau-de-Parfum/13627415179" TargetMode="External"/><Relationship Id="rId225" Type="http://schemas.openxmlformats.org/officeDocument/2006/relationships/hyperlink" Target="https://i5.samsclubimages.com/asr/5e12032a-b8c9-4eb4-8fec-1be59f4f6b87.4c70ff3bd030065fcdb9c1ddc283379a.jpeg" TargetMode="External"/><Relationship Id="rId226" Type="http://schemas.openxmlformats.org/officeDocument/2006/relationships/hyperlink" Target="https://www.samsclub.com/ip/Marc-Jacobs-Daisy-Eau-So-Fresh-Eau-de-Toilette-4-2-fl-oz/13622805177" TargetMode="External"/><Relationship Id="rId227" Type="http://schemas.openxmlformats.org/officeDocument/2006/relationships/hyperlink" Target="https://usnparfumerie.com/product/layton-parfums-de-marly-125ml/" TargetMode="External"/><Relationship Id="rId228" Type="http://schemas.openxmlformats.org/officeDocument/2006/relationships/hyperlink" Target="https://i5.samsclubimages.com/asr/093a0085-9a91-45ec-a947-a3668cad3907.543b8898f688058707688cd4f617333a.jpeg" TargetMode="External"/><Relationship Id="rId229" Type="http://schemas.openxmlformats.org/officeDocument/2006/relationships/hyperlink" Target="https://www.samsclub.com/ip/Parfums-de-Marly-Layton-Eau-de-Parfum-125ml/16732618228" TargetMode="External"/><Relationship Id="rId230" Type="http://schemas.openxmlformats.org/officeDocument/2006/relationships/hyperlink" Target="https://www.poudrine.com/products/prada-paradoxe-eau-de-parfum" TargetMode="External"/><Relationship Id="rId231" Type="http://schemas.openxmlformats.org/officeDocument/2006/relationships/hyperlink" Target="https://i5.samsclubimages.com/asr/57e9fb60-7764-4637-947b-c49ecf2e5bc7.d471903e088007d45fa56a4b0c23dce4.jpeg" TargetMode="External"/><Relationship Id="rId232" Type="http://schemas.openxmlformats.org/officeDocument/2006/relationships/hyperlink" Target="https://www.samsclub.com/ip/Prada-Paradoxe-Ladies-Eau-de-Parfum/13629610708" TargetMode="External"/><Relationship Id="rId233" Type="http://schemas.openxmlformats.org/officeDocument/2006/relationships/hyperlink" Target="https://www.poudrine.com/products/tom-ford-lost-cherry-eau-de-parfum" TargetMode="External"/><Relationship Id="rId234" Type="http://schemas.openxmlformats.org/officeDocument/2006/relationships/hyperlink" Target="https://i5.samsclubimages.com/asr/9af6dcc4-8fde-4094-9966-d8887b686291.b7b5eb204717c2317fd3d59be021d699.jpeg" TargetMode="External"/><Relationship Id="rId235" Type="http://schemas.openxmlformats.org/officeDocument/2006/relationships/hyperlink" Target="https://www.samsclub.com/ip/Tom-Ford-Lost-Cherry-Eau-de-Parfum/13775819810" TargetMode="External"/><Relationship Id="rId236" Type="http://schemas.openxmlformats.org/officeDocument/2006/relationships/hyperlink" Target="https://www.poudrine.com/products/tom-ford-ombre-leather-eau-de-parfum" TargetMode="External"/><Relationship Id="rId237" Type="http://schemas.openxmlformats.org/officeDocument/2006/relationships/hyperlink" Target="https://i5.samsclubimages.com/asr/66702c49-fe20-4d09-8974-0bcf5ae3101e.9a1e650f9006f281379214a2c4ef5ece.jpeg" TargetMode="External"/><Relationship Id="rId238" Type="http://schemas.openxmlformats.org/officeDocument/2006/relationships/hyperlink" Target="https://www.samsclub.com/ip/Tom-Ford-Ombre-Leather-Eau-de-Parfum-3-4-fl-oz/13585874509" TargetMode="External"/><Relationship Id="rId239" Type="http://schemas.openxmlformats.org/officeDocument/2006/relationships/hyperlink" Target="https://www.poudrine.com/collections/versace" TargetMode="External"/><Relationship Id="rId240" Type="http://schemas.openxmlformats.org/officeDocument/2006/relationships/hyperlink" Target="https://i5.samsclubimages.com/asr/0562fb38-6ba5-4df3-bb48-e8a225328919.c1e67234ad7d1cea2eaac1a3ac9dd3b8.jpeg" TargetMode="External"/><Relationship Id="rId241" Type="http://schemas.openxmlformats.org/officeDocument/2006/relationships/hyperlink" Target="https://www.samsclub.com/ip/Versace-Bright-Crystal-Absolu-Eau-de-Parfum-Spray-3-0-fl-oz/13890613062" TargetMode="External"/><Relationship Id="rId242" Type="http://schemas.openxmlformats.org/officeDocument/2006/relationships/hyperlink" Target="https://www.poudrine.com/collections/versace" TargetMode="External"/><Relationship Id="rId243" Type="http://schemas.openxmlformats.org/officeDocument/2006/relationships/hyperlink" Target="https://i5.samsclubimages.com/asr/159a65ab-e20c-4472-bcd9-da26b6bab154.9081fb49fe10d8aea6eec2e3012b1c35.jpeg" TargetMode="External"/><Relationship Id="rId244" Type="http://schemas.openxmlformats.org/officeDocument/2006/relationships/hyperlink" Target="https://www.samsclub.com/ip/Versace-Bright-Crystal-Eau-de-Toilette/13770706270" TargetMode="External"/><Relationship Id="rId245" Type="http://schemas.openxmlformats.org/officeDocument/2006/relationships/hyperlink" Target="https://i5.samsclubimages.com/asr/dca5df27-2ccf-422f-9882-c15ef685f72b.31a67e1e83c06c28e6b75f38ee0e0714.jpeg" TargetMode="External"/><Relationship Id="rId246" Type="http://schemas.openxmlformats.org/officeDocument/2006/relationships/hyperlink" Target="https://www.samsclub.com/ip/Versace-Eros-Energy-Pour-Homme-Eau-de-Parfum-3-4-fl-oz/15238911470" TargetMode="External"/><Relationship Id="rId247" Type="http://schemas.openxmlformats.org/officeDocument/2006/relationships/hyperlink" Target="https://www.kaynoo.sn/parfumerie/pour-hommes/yves-saint-laurent-y-edp-100ml-parfum-homme.html" TargetMode="External"/><Relationship Id="rId248" Type="http://schemas.openxmlformats.org/officeDocument/2006/relationships/hyperlink" Target="https://i5.samsclubimages.com/asr/6ccb6226-000f-4ac9-beb5-1c3297d53dc2.a147241f45a6070d1c13d6baa2de0c87.jpeg" TargetMode="External"/><Relationship Id="rId249" Type="http://schemas.openxmlformats.org/officeDocument/2006/relationships/hyperlink" Target="https://www.samsclub.com/ip/Yves-Saint-Laurent-Y-Eau-De-Parfum-Spray-3-3-fl-oz/19944503284" TargetMode="External"/><Relationship Id="rId250" Type="http://schemas.openxmlformats.org/officeDocument/2006/relationships/hyperlink" Target="https://i5.samsclubimages.com/asr/8098a45a-7ab1-4c0e-a587-8e7701ce65fb.f5065d138e9600ced23f5e29fbca9d31.jpeg" TargetMode="External"/><Relationship Id="rId251" Type="http://schemas.openxmlformats.org/officeDocument/2006/relationships/hyperlink" Target="https://www.samsclub.com/ip/Member-s-Mark-Sunscreen-Spray-SPF-50-9-1-oz-3-pk/15056762249" TargetMode="External"/><Relationship Id="rId252" Type="http://schemas.openxmlformats.org/officeDocument/2006/relationships/hyperlink" Target="https://i5.samsclubimages.com/asr/f35a5349-4e1f-4714-a602-f594b79ce445.cd392de457f7dff3c09b5c8a3da7d410.jpeg" TargetMode="External"/><Relationship Id="rId253" Type="http://schemas.openxmlformats.org/officeDocument/2006/relationships/hyperlink" Target="https://www.samsclub.com/ip/Neutrogena-Beach-Defense-Spray-Sunscreen-SPF-50-6-5-oz-3-pk/13963107423" TargetMode="External"/><Relationship Id="rId254" Type="http://schemas.openxmlformats.org/officeDocument/2006/relationships/hyperlink" Target="https://i5.samsclubimages.com/asr/f3a34790-e9b6-42eb-9dc1-71e3b10a6c5c.6467fc1eed12b091db04a56005000d8d.jpeg" TargetMode="External"/><Relationship Id="rId255" Type="http://schemas.openxmlformats.org/officeDocument/2006/relationships/hyperlink" Target="https://www.samsclub.com/ip/Neutrogena-Beach-Defense-Sunscreen-Stick-SPF-50-2-pk/15213900124" TargetMode="External"/><Relationship Id="rId256" Type="http://schemas.openxmlformats.org/officeDocument/2006/relationships/hyperlink" Target="https://i5.samsclubimages.com/asr/26944e4e-791c-4514-be32-53f4b25a10fb.79ac3fe467c6f0bd62be99f79d3acf9f.jpeg" TargetMode="External"/><Relationship Id="rId257" Type="http://schemas.openxmlformats.org/officeDocument/2006/relationships/hyperlink" Target="https://www.samsclub.com/ip/Neutrogena-Clear-Face-Sunscreen-Lotion-SPF-50-2-pk/13870271280" TargetMode="External"/><Relationship Id="rId258" Type="http://schemas.openxmlformats.org/officeDocument/2006/relationships/hyperlink" Target="https://i5.samsclubimages.com/asr/88c26f6b-f7cf-4841-9227-7e4507aa7b05.b1341c311085b473b66a0ced5cc29132.jpeg" TargetMode="External"/><Relationship Id="rId259" Type="http://schemas.openxmlformats.org/officeDocument/2006/relationships/hyperlink" Target="https://www.samsclub.com/ip/Neutrogena-Ultra-Sheer-Body-Mist-Sunscreen-Spray-SPF-70-5-oz-3-pk/13875852525" TargetMode="External"/><Relationship Id="rId260" Type="http://schemas.openxmlformats.org/officeDocument/2006/relationships/hyperlink" Target="https://fabellashop.com/produit/neutrogena-ultra-sheer-ecran-solaire-toucher-sec-spf-70/" TargetMode="External"/><Relationship Id="rId261" Type="http://schemas.openxmlformats.org/officeDocument/2006/relationships/hyperlink" Target="https://i5.samsclubimages.com/asr/ec7cbd0f-7bd7-4a83-8656-bceb15a47ae5.c538038a6246a71ffdb1ea5a0b96fb0b.jpeg" TargetMode="External"/><Relationship Id="rId262" Type="http://schemas.openxmlformats.org/officeDocument/2006/relationships/hyperlink" Target="https://www.samsclub.com/ip/Neutrogena-Ultra-Sheer-Dry-Touch-Sunscreen-Lotion-SPF-70-3-oz-3pk/15183572792" TargetMode="External"/><Relationship Id="rId263" Type="http://schemas.openxmlformats.org/officeDocument/2006/relationships/hyperlink" Target="https://i5.samsclubimages.com/asr/00b4bd0e-3704-4e5f-8d2e-cc9a489a0a50.076f8cf4826c8dc2a5b93c9a72400433.jpeg" TargetMode="External"/><Relationship Id="rId264" Type="http://schemas.openxmlformats.org/officeDocument/2006/relationships/hyperlink" Target="https://www.samsclub.com/ip/Supergoop-PLAY-Everyday-Lotion-SPF-50-Choose-Size/13858351697" TargetMode="External"/><Relationship Id="rId265" Type="http://schemas.openxmlformats.org/officeDocument/2006/relationships/hyperlink" Target="https://www.fabellashop.com/produit/supergoop-unseen-sunscreen-gel-invisible-indetectable-spf-30/" TargetMode="External"/><Relationship Id="rId266" Type="http://schemas.openxmlformats.org/officeDocument/2006/relationships/hyperlink" Target="https://i5.samsclubimages.com/asr/20d11eee-91d6-44e9-bd22-4753a21cdc89.0486c41dab9ccdaf94766ef7f81a456d.jpeg" TargetMode="External"/><Relationship Id="rId267" Type="http://schemas.openxmlformats.org/officeDocument/2006/relationships/hyperlink" Target="https://www.samsclub.com/ip/Supergoop-Unseen-Sunscreen-SPF-50-1-7-fl-oz/17995722160" TargetMode="External"/><Relationship Id="rId268" Type="http://schemas.openxmlformats.org/officeDocument/2006/relationships/hyperlink" Target="https://i5.samsclubimages.com/asr/a253ef8d-4c83-47ff-b5a5-5c12224e6ce0.88ea06c4056993ac6def429d4eb76e27.jpeg" TargetMode="External"/><Relationship Id="rId269" Type="http://schemas.openxmlformats.org/officeDocument/2006/relationships/hyperlink" Target="https://www.samsclub.com/ip/Braun-IPL7-Silk-Expert-Pro-7-Laser-Women-s-Hair-Removal-Kit/16678320526" TargetMode="External"/><Relationship Id="rId270" Type="http://schemas.openxmlformats.org/officeDocument/2006/relationships/hyperlink" Target="https://i5.samsclubimages.com/asr/6bbb868d-ed31-4030-9eaf-aeaf7ab7f4d3.3ef5d7a46a3bf4f75070ad29d4f80df2.jpeg" TargetMode="External"/><Relationship Id="rId271" Type="http://schemas.openxmlformats.org/officeDocument/2006/relationships/hyperlink" Target="https://www.samsclub.com/ip/Braun-Series-7-7189cc-Electric-Razor-Shaver-Kit-for-Men/13849972333" TargetMode="External"/><Relationship Id="rId272" Type="http://schemas.openxmlformats.org/officeDocument/2006/relationships/hyperlink" Target="https://i5.samsclubimages.com/asr/ca1ead10-76a5-4a93-ba4b-1a2e56dc5e8e.af2c6fc65a42e0ddb83a312447b051f7.jpeg" TargetMode="External"/><Relationship Id="rId273" Type="http://schemas.openxmlformats.org/officeDocument/2006/relationships/hyperlink" Target="https://www.samsclub.com/ip/Braun-Series-9-9430-All-In-One-Electric-Grooming-Style-Kit-for-Men/13958306972" TargetMode="External"/><Relationship Id="rId274" Type="http://schemas.openxmlformats.org/officeDocument/2006/relationships/hyperlink" Target="https://parisdakarshopping.com/&#233;pilateur-&#233;lectrique-braun-silk-&#233;pil-9" TargetMode="External"/><Relationship Id="rId275" Type="http://schemas.openxmlformats.org/officeDocument/2006/relationships/hyperlink" Target="https://i5.samsclubimages.com/asr/e8384e4a-df01-46b5-84cc-e88e7dcb2106.7a7ca5334420f48bdc34c4377be2e96e.jpeg" TargetMode="External"/><Relationship Id="rId276" Type="http://schemas.openxmlformats.org/officeDocument/2006/relationships/hyperlink" Target="https://www.samsclub.com/ip/Braun-Silk-pil-Series-7-Epilator-Woman-s-Electric-Razor-Shaver-Kit/13927359256" TargetMode="External"/><Relationship Id="rId277" Type="http://schemas.openxmlformats.org/officeDocument/2006/relationships/hyperlink" Target="https://i5.samsclubimages.com/asr/d46c69ec-8cfe-4a24-9f53-9551a15e080e.c2556483976c0f05560bf86b28ca4778.jpeg" TargetMode="External"/><Relationship Id="rId278" Type="http://schemas.openxmlformats.org/officeDocument/2006/relationships/hyperlink" Target="https://www.samsclub.com/ip/Edge-Sensitive-Skin-Shaving-Gel-for-Men-9-5-oz-3-pk/13873900587" TargetMode="External"/><Relationship Id="rId279" Type="http://schemas.openxmlformats.org/officeDocument/2006/relationships/hyperlink" Target="https://www.jumia.sn/gillette-fusion5-rasoir-homme-2-lames-de-rechange-5-lames-de-precision-pour-un-rasage-doux-et-net-12738466.html" TargetMode="External"/><Relationship Id="rId280" Type="http://schemas.openxmlformats.org/officeDocument/2006/relationships/hyperlink" Target="https://i5.samsclubimages.com/asr/3a0fb157-ce7e-4b57-9aa9-de6092effa38.44298ae57690ed2f2a6c41a044051fe2.jpeg" TargetMode="External"/><Relationship Id="rId281" Type="http://schemas.openxmlformats.org/officeDocument/2006/relationships/hyperlink" Target="https://www.samsclub.com/ip/Gillette-Fusion5-Men-s-Razor-Cartridges-16-ct/4740066908" TargetMode="External"/><Relationship Id="rId282" Type="http://schemas.openxmlformats.org/officeDocument/2006/relationships/hyperlink" Target="https://i5.samsclubimages.com/asr/be277a0e-e4b4-44ac-bdbf-84a5d6cb363b.3da38a34a83868ce92a9ae9a94b7d8df.jpeg" TargetMode="External"/><Relationship Id="rId283" Type="http://schemas.openxmlformats.org/officeDocument/2006/relationships/hyperlink" Target="https://www.samsclub.com/ip/Philips-Norelco-OneBlade-Face-and-Body-Electric-Shaver-and-Trimmer/17447315637" TargetMode="External"/><Relationship Id="rId284" Type="http://schemas.openxmlformats.org/officeDocument/2006/relationships/hyperlink" Target="https://i5.samsclubimages.com/asr/1b7cff7e-b39c-4906-aa19-d56ff5caf25b.9a2eba3dc2a871899b1c460249f1fc20.jpeg" TargetMode="External"/><Relationship Id="rId285" Type="http://schemas.openxmlformats.org/officeDocument/2006/relationships/hyperlink" Target="https://www.samsclub.com/ip/Venus-Comfortglide-Women-s-Razor-Handle-12-Cartridges-White-Tea/13898962831" TargetMode="External"/><Relationship Id="rId286" Type="http://schemas.openxmlformats.org/officeDocument/2006/relationships/hyperlink" Target="https://i5.samsclubimages.com/asr/3cdca655-25a0-4012-b713-dd50865a51ce.fb963a974be120bb0d6430f176de97c2.jpeg" TargetMode="External"/><Relationship Id="rId287" Type="http://schemas.openxmlformats.org/officeDocument/2006/relationships/hyperlink" Target="https://www.samsclub.com/ip/Venus-Extra-Smooth-Women-s-Razor-5-Blades-1-Handle-11-Cartridges/13889420359" TargetMode="External"/><Relationship Id="rId288" Type="http://schemas.openxmlformats.org/officeDocument/2006/relationships/hyperlink" Target="https://i5.samsclubimages.com/asr/26707cd3-89f2-4139-9467-fce402caf53e.50b59abebac5f3494c09cdc78e3b94f1.jpeg" TargetMode="External"/><Relationship Id="rId289" Type="http://schemas.openxmlformats.org/officeDocument/2006/relationships/hyperlink" Target="https://www.samsclub.com/ip/Venus-Sensitive-Disposable-Razors-for-Women-12-ct/13795609978" TargetMode="External"/><Relationship Id="rId290" Type="http://schemas.openxmlformats.org/officeDocument/2006/relationships/hyperlink" Target="https://i5.samsclubimages.com/asr/e1b21e79-f6e3-402d-b9f4-641b567621c8.58cbcbf92fb19f7817bfaaa1657efe41.jpeg" TargetMode="External"/><Relationship Id="rId291" Type="http://schemas.openxmlformats.org/officeDocument/2006/relationships/hyperlink" Target="https://www.samsclub.com/ip/7Elements-Dead-Sea-Facial-Mud-Mask-6-88-oz-2-pk/16700473482" TargetMode="External"/><Relationship Id="rId292" Type="http://schemas.openxmlformats.org/officeDocument/2006/relationships/hyperlink" Target="https://i5.samsclubimages.com/asr/c65850d0-985c-49d8-833f-fc6500016b62.2780784e8bfe3c6685138d817c795d9a.jpeg" TargetMode="External"/><Relationship Id="rId293" Type="http://schemas.openxmlformats.org/officeDocument/2006/relationships/hyperlink" Target="https://www.samsclub.com/ip/Burt-s-Bees-100-Natural-Origin-Beeswax-Moisturizing-Lip-Balm-8-pk/79285090162" TargetMode="External"/><Relationship Id="rId294" Type="http://schemas.openxmlformats.org/officeDocument/2006/relationships/hyperlink" Target="https://sunuamericanstore.com/produit/cerave-foaming-facial-cleanser-355ml/" TargetMode="External"/><Relationship Id="rId295" Type="http://schemas.openxmlformats.org/officeDocument/2006/relationships/hyperlink" Target="https://i5.samsclubimages.com/asr/1326f19d-71f7-4bf5-8282-47afccd3562c.99bf1d4690f40f264e4643dd731b821c.jpeg" TargetMode="External"/><Relationship Id="rId296" Type="http://schemas.openxmlformats.org/officeDocument/2006/relationships/hyperlink" Target="https://www.samsclub.com/ip/CeraVe-Foaming-Facial-Cleanser-Normal-to-Oily-Skin-12-fl-oz-2-pk/17005563271" TargetMode="External"/><Relationship Id="rId297" Type="http://schemas.openxmlformats.org/officeDocument/2006/relationships/hyperlink" Target="https://sunuamericanstore.com/produit/cerave-hydrating-facial-cleanser-355ml/" TargetMode="External"/><Relationship Id="rId298" Type="http://schemas.openxmlformats.org/officeDocument/2006/relationships/hyperlink" Target="https://i5.samsclubimages.com/asr/63a21570-25da-453e-8238-565f6378e9f8.4503cb5fbd85b549ec564a2e31244de7.jpeg" TargetMode="External"/><Relationship Id="rId299" Type="http://schemas.openxmlformats.org/officeDocument/2006/relationships/hyperlink" Target="https://www.samsclub.com/ip/CeraVe-Hydrating-Facial-Cleanser-Normal-to-Dry-Skin-12-fl-oz-2-pk/13896862157" TargetMode="External"/><Relationship Id="rId300" Type="http://schemas.openxmlformats.org/officeDocument/2006/relationships/hyperlink" Target="https://happydealsdakar.com/shop-2/cetaphil-daily-facial-cleanser-591ml/" TargetMode="External"/><Relationship Id="rId301" Type="http://schemas.openxmlformats.org/officeDocument/2006/relationships/hyperlink" Target="https://i5.samsclubimages.com/asr/7ccfaba2-4093-442b-81f2-9d8ea9d03ac1.e7816237ccae2f46310b75dd84941567.jpeg" TargetMode="External"/><Relationship Id="rId302" Type="http://schemas.openxmlformats.org/officeDocument/2006/relationships/hyperlink" Target="https://www.samsclub.com/ip/Cetaphil-Daily-Facial-Cleanser-for-Sensitive-Skin-Combination-to-Oil-Skin-20-fl-oz-2-pk/18870853035" TargetMode="External"/><Relationship Id="rId303" Type="http://schemas.openxmlformats.org/officeDocument/2006/relationships/hyperlink" Target="https://happydealsdakar.com/shop-2/cetaphil-daily-facial-cleanser-591ml/" TargetMode="External"/><Relationship Id="rId304" Type="http://schemas.openxmlformats.org/officeDocument/2006/relationships/hyperlink" Target="https://i5.samsclubimages.com/asr/25925e40-3b99-4fc2-8fe9-cc1ac5e32b7e.61b0059f378227f320044bef72bbd048.jpeg" TargetMode="External"/><Relationship Id="rId305" Type="http://schemas.openxmlformats.org/officeDocument/2006/relationships/hyperlink" Target="https://www.samsclub.com/ip/Cetaphil-Daily-Facial-Cleanser-20-fl-oz-2-pk/30299392776" TargetMode="External"/><Relationship Id="rId306" Type="http://schemas.openxmlformats.org/officeDocument/2006/relationships/hyperlink" Target="https://superdealsn.com/products/cetaphil-daily-facial-moisturizer-broad-spectrum-spf-15/" TargetMode="External"/><Relationship Id="rId307" Type="http://schemas.openxmlformats.org/officeDocument/2006/relationships/hyperlink" Target="https://i5.samsclubimages.com/asr/1ed8c84e-7cca-451a-88ba-b3a40cf9d7f5.74b0e9cb6b07f8ab4ec6cc5cf6049868.jpeg" TargetMode="External"/><Relationship Id="rId308" Type="http://schemas.openxmlformats.org/officeDocument/2006/relationships/hyperlink" Target="https://www.samsclub.com/ip/Cetaphil-Daily-Facial-Moisturizer-with-Sunscreen-SPF-15-4-fl-oz-3-pk/609701678" TargetMode="External"/><Relationship Id="rId309" Type="http://schemas.openxmlformats.org/officeDocument/2006/relationships/hyperlink" Target="https://www.universcosmetix.com/product/cetaphil-pain-de-toilette-sans-savon-visage-et-corps-127-g/" TargetMode="External"/><Relationship Id="rId310" Type="http://schemas.openxmlformats.org/officeDocument/2006/relationships/hyperlink" Target="https://i5.samsclubimages.com/asr/6ddf69b7-e70d-4e47-a751-36b234ed04a1.ebc679e94869de5856c6dc47f591ab84.jpeg" TargetMode="External"/><Relationship Id="rId311" Type="http://schemas.openxmlformats.org/officeDocument/2006/relationships/hyperlink" Target="https://www.samsclub.com/ip/Cetaphil-Gentle-Cleansing-Bar-4-5-oz-6-ct/30299392310" TargetMode="External"/><Relationship Id="rId312" Type="http://schemas.openxmlformats.org/officeDocument/2006/relationships/hyperlink" Target="https://superdealsn.com/products/cetaphil-gentle-foaming-cleanser/" TargetMode="External"/><Relationship Id="rId313" Type="http://schemas.openxmlformats.org/officeDocument/2006/relationships/hyperlink" Target="https://i5.samsclubimages.com/asr/f2fa50a9-7d9e-4bde-b165-2d808dc6e6c1.d9188ccf568adb1ad953237773b5667f.jpeg" TargetMode="External"/><Relationship Id="rId314" Type="http://schemas.openxmlformats.org/officeDocument/2006/relationships/hyperlink" Target="https://www.samsclub.com/ip/Cetaphil-Gentle-Foaming-Cleanser-8-fl-oz-3-pk/13891553083" TargetMode="External"/><Relationship Id="rId315" Type="http://schemas.openxmlformats.org/officeDocument/2006/relationships/hyperlink" Target="https://www.universcosmetix.com/product/cetaphil-creme-hydratante-corps-peaux-seches-et-sensibles-450g/" TargetMode="External"/><Relationship Id="rId316" Type="http://schemas.openxmlformats.org/officeDocument/2006/relationships/hyperlink" Target="https://i5.samsclubimages.com/asr/f13fed28-2fcb-455d-8593-28fa83ec7ab9.8323b8092ca9ac2c2382ccb1ffa2482d.jpeg" TargetMode="External"/><Relationship Id="rId317" Type="http://schemas.openxmlformats.org/officeDocument/2006/relationships/hyperlink" Target="https://www.samsclub.com/ip/Cetaphil-Moisturizing-Cream-for-Dry-to-Very-Dry-Skin-Unscented-16-oz-2-pk/18870853767" TargetMode="External"/><Relationship Id="rId318" Type="http://schemas.openxmlformats.org/officeDocument/2006/relationships/hyperlink" Target="https://i5.samsclubimages.com/asr/a1554081-f7f9-43dc-a483-35cc0d539e03.5b0536970b2e578a812de9c7825a66d3.jpeg" TargetMode="External"/><Relationship Id="rId319" Type="http://schemas.openxmlformats.org/officeDocument/2006/relationships/hyperlink" Target="https://www.samsclub.com/ip/Cetaphil-Oil-Removing-Foam-Wash-8-fl-oz-3-pk/15370019159" TargetMode="External"/><Relationship Id="rId320" Type="http://schemas.openxmlformats.org/officeDocument/2006/relationships/hyperlink" Target="https://i5.samsclubimages.com/asr/a6655108-cd6c-4251-96ce-84c9becc187c.142e4fd49cdd2157cc208c1a408f36ab.jpeg" TargetMode="External"/><Relationship Id="rId321" Type="http://schemas.openxmlformats.org/officeDocument/2006/relationships/hyperlink" Target="https://www.samsclub.com/ip/ChapStick-Honey-Variety-Pack-12-ct/13659761019" TargetMode="External"/><Relationship Id="rId322" Type="http://schemas.openxmlformats.org/officeDocument/2006/relationships/hyperlink" Target="https://i5.samsclubimages.com/asr/abdc18d5-c687-4e56-99ac-bde4752e5414.db26d41a88598cac3ccc3674375e4b63.jpeg" TargetMode="External"/><Relationship Id="rId323" Type="http://schemas.openxmlformats.org/officeDocument/2006/relationships/hyperlink" Target="https://www.samsclub.com/ip/Drunk-Elephant-C-Firma-Fresh-Day-Serum-Set/15011762847" TargetMode="External"/><Relationship Id="rId324" Type="http://schemas.openxmlformats.org/officeDocument/2006/relationships/hyperlink" Target="https://www.universcosmetix.com/product/laneige-lip-sleeping-mask-berry-masque-de-nuit-levres-20-g/" TargetMode="External"/><Relationship Id="rId325" Type="http://schemas.openxmlformats.org/officeDocument/2006/relationships/hyperlink" Target="https://i5.samsclubimages.com/asr/a8033c00-8e6d-4d49-9851-c9dfee4099bb.1210a5a6fc13e3de9a0e63408ba4a30f.jpeg" TargetMode="External"/><Relationship Id="rId326" Type="http://schemas.openxmlformats.org/officeDocument/2006/relationships/hyperlink" Target="https://www.samsclub.com/ip/Laneige-Lip-Sleeping-Mask-EX-Berry/15007924355" TargetMode="External"/><Relationship Id="rId327" Type="http://schemas.openxmlformats.org/officeDocument/2006/relationships/hyperlink" Target="https://i5.samsclubimages.com/asr/4ffcdc5b-a722-4316-95ff-1d42ea319ddb.6c0c1f605a902807381592ba49403a6e.jpeg" TargetMode="External"/><Relationship Id="rId328" Type="http://schemas.openxmlformats.org/officeDocument/2006/relationships/hyperlink" Target="https://www.samsclub.com/ip/Mario-Badescu-Clear-Refresh-Essentials-Kit-3-pc/19641364331" TargetMode="External"/><Relationship Id="rId329" Type="http://schemas.openxmlformats.org/officeDocument/2006/relationships/hyperlink" Target="https://i5.samsclubimages.com/asr/0a8fd2af-5d21-430b-9181-e663703ca7e6.cd79f5cf88815ce6e94a8192a45113da.jpeg" TargetMode="External"/><Relationship Id="rId330" Type="http://schemas.openxmlformats.org/officeDocument/2006/relationships/hyperlink" Target="https://www.samsclub.com/ip/Member-s-Mark-Facial-Cleansing-Towelettes-20-ct-8-pk/16956614879" TargetMode="External"/><Relationship Id="rId331" Type="http://schemas.openxmlformats.org/officeDocument/2006/relationships/hyperlink" Target="https://i5.samsclubimages.com/asr/054a291f-aa9b-4937-ba11-7359035e9a08.485f6d9ac18460e23d628db1da7d314a.jpeg" TargetMode="External"/><Relationship Id="rId332" Type="http://schemas.openxmlformats.org/officeDocument/2006/relationships/hyperlink" Target="https://www.samsclub.com/ip/NatureWell-Everything-Balm-2-oz-2-pk/15225203797" TargetMode="External"/><Relationship Id="rId333" Type="http://schemas.openxmlformats.org/officeDocument/2006/relationships/hyperlink" Target="https://i5.samsclubimages.com/asr/b46cd598-7a8d-423b-b41a-3601a98420e7.79b430864d4b68d30f230607093e44ac.jpeg" TargetMode="External"/><Relationship Id="rId334" Type="http://schemas.openxmlformats.org/officeDocument/2006/relationships/hyperlink" Target="https://www.samsclub.com/ip/NatureWell-Hydrating-Lip-Masks-3-pk/18015361378" TargetMode="External"/><Relationship Id="rId335" Type="http://schemas.openxmlformats.org/officeDocument/2006/relationships/hyperlink" Target="https://www.universcosmetix.com/product/neutrogena-collagen-bank-creme-visage-hydratante-bakuchiol-50-ml/" TargetMode="External"/><Relationship Id="rId336" Type="http://schemas.openxmlformats.org/officeDocument/2006/relationships/hyperlink" Target="https://i5.samsclubimages.com/asr/313ed6a1-8bd0-4591-8a4e-48a50b06d5df.f9e5ab33b5aef9dfb9757d69170cf208.jpeg" TargetMode="External"/><Relationship Id="rId337" Type="http://schemas.openxmlformats.org/officeDocument/2006/relationships/hyperlink" Target="https://www.samsclub.com/ip/Neutrogena-Collagen-Bank-Moisturizer-Sunscreen-SPF-30-2-fl-oz-2-pk/17878669636" TargetMode="External"/><Relationship Id="rId338" Type="http://schemas.openxmlformats.org/officeDocument/2006/relationships/hyperlink" Target="https://www.universcosmetix.com/product/neutrogena-hydro-boost-aqua-creme-soin-hydratant-50-ml/" TargetMode="External"/><Relationship Id="rId339" Type="http://schemas.openxmlformats.org/officeDocument/2006/relationships/hyperlink" Target="https://i5.samsclubimages.com/asr/4a9f39a7-2df3-4970-bc01-682303557674.cad9c12615f90558accd811d182d3dac.jpeg" TargetMode="External"/><Relationship Id="rId340" Type="http://schemas.openxmlformats.org/officeDocument/2006/relationships/hyperlink" Target="https://www.samsclub.com/ip/Neutrogena-Hydro-Boost-48-Hour-Gel-Cream-Face-Moisturizer-1-7-fl-oz-3-pk/13908405175" TargetMode="External"/><Relationship Id="rId341" Type="http://schemas.openxmlformats.org/officeDocument/2006/relationships/hyperlink" Target="https://www.universcosmetix.com/product/neutrogena-hydro-boost-aqua-gel-nettoyant-hydratant-200-ml/" TargetMode="External"/><Relationship Id="rId342" Type="http://schemas.openxmlformats.org/officeDocument/2006/relationships/hyperlink" Target="https://i5.samsclubimages.com/asr/26c3007d-2cc9-42de-9828-902d131175da.bb6a47cd3d17644b87b6854a1d3bdbfe.jpeg" TargetMode="External"/><Relationship Id="rId343" Type="http://schemas.openxmlformats.org/officeDocument/2006/relationships/hyperlink" Target="https://www.samsclub.com/ip/Neutrogena-Hydro-Boost-Hydrating-Gel-Cleanser-7-8-fl-oz-3-pk/13879617060" TargetMode="External"/><Relationship Id="rId344" Type="http://schemas.openxmlformats.org/officeDocument/2006/relationships/hyperlink" Target="https://www.youreleganceshop.com/produit/lingettes-nettoyantes-demaquillantes-neutrogena/" TargetMode="External"/><Relationship Id="rId345" Type="http://schemas.openxmlformats.org/officeDocument/2006/relationships/hyperlink" Target="https://i5.samsclubimages.com/asr/aa50ab72-372d-47dd-aaea-8759f50c0928.b1191d2ad8ade3f756dc91d43e5615c3.jpeg" TargetMode="External"/><Relationship Id="rId346" Type="http://schemas.openxmlformats.org/officeDocument/2006/relationships/hyperlink" Target="https://www.samsclub.com/ip/Neutrogena-Makeup-Remover-Night-Calming-Cleansing-Towelettes-25-ct-5-pk/13939017407" TargetMode="External"/><Relationship Id="rId347" Type="http://schemas.openxmlformats.org/officeDocument/2006/relationships/hyperlink" Target="https://www.universcosmetix.com/product/neutrogena-gel-nettoyant-anti-boutons-sans-parfum-200ml/" TargetMode="External"/><Relationship Id="rId348" Type="http://schemas.openxmlformats.org/officeDocument/2006/relationships/hyperlink" Target="https://i5.samsclubimages.com/asr/f99d81a6-1253-49fc-aeb8-d524db5e8b12.da1ce38c2c858f2e48007610f72351ef.jpeg" TargetMode="External"/><Relationship Id="rId349" Type="http://schemas.openxmlformats.org/officeDocument/2006/relationships/hyperlink" Target="https://www.samsclub.com/ip/Neutrogena-Oil-Free-Acne-Face-Wash-9-1-fl-oz-2-pk/13596802361" TargetMode="External"/><Relationship Id="rId350" Type="http://schemas.openxmlformats.org/officeDocument/2006/relationships/hyperlink" Target="https://i5.samsclubimages.com/asr/e113c146-244c-4a56-baac-6b70bcaf0da6.4690d88fe5cca2fa4c28ef2107074e00.jpeg" TargetMode="External"/><Relationship Id="rId351" Type="http://schemas.openxmlformats.org/officeDocument/2006/relationships/hyperlink" Target="https://www.samsclub.com/ip/Neutrogena-Stubborn-Acne-Blemish-Patches-24-ct-3-pk/13897320762" TargetMode="External"/><Relationship Id="rId352" Type="http://schemas.openxmlformats.org/officeDocument/2006/relationships/hyperlink" Target="https://i5.samsclubimages.com/asr/c704ebca-7531-495e-94be-f265a1f11ea6.a576c9bf2802a571f5a846479b6b1131.jpeg" TargetMode="External"/><Relationship Id="rId353" Type="http://schemas.openxmlformats.org/officeDocument/2006/relationships/hyperlink" Target="https://www.samsclub.com/ip/No7-Lift-Luminate-Day-and-Night-Cream-Set/19649824379" TargetMode="External"/><Relationship Id="rId354" Type="http://schemas.openxmlformats.org/officeDocument/2006/relationships/hyperlink" Target="https://i5.samsclubimages.com/asr/bef8c4cc-002e-42df-b963-3dd8b1d85ee6.0c775c899645af3525bee2a2435cee30.jpeg" TargetMode="External"/><Relationship Id="rId355" Type="http://schemas.openxmlformats.org/officeDocument/2006/relationships/hyperlink" Target="https://www.samsclub.com/ip/No7-Restore-Renew-Day-and-Night-Cream-Set/19725860980" TargetMode="External"/><Relationship Id="rId356" Type="http://schemas.openxmlformats.org/officeDocument/2006/relationships/hyperlink" Target="https://i5.samsclubimages.com/asr/3051fa87-75e3-4ce1-8238-ef14e38784e8.9d910cc48e5eff0c31d151c69422f0ac.jpeg" TargetMode="External"/><Relationship Id="rId357" Type="http://schemas.openxmlformats.org/officeDocument/2006/relationships/hyperlink" Target="https://www.samsclub.com/ip/No7-Restore-Renew-Eye-Cream-Face-Neck-Serum-Pack/19694717672" TargetMode="External"/><Relationship Id="rId358" Type="http://schemas.openxmlformats.org/officeDocument/2006/relationships/hyperlink" Target="https://i5.samsclubimages.com/asr/1e051f5e-21a0-4a37-8a96-9566707aed9a.02943fae4e53683c8b4494a3dd7bd577.jpeg" TargetMode="External"/><Relationship Id="rId359" Type="http://schemas.openxmlformats.org/officeDocument/2006/relationships/hyperlink" Target="https://www.samsclub.com/ip/Obagi-CLENZIDERM-M-D-Acne-Therapeutic-System/15432213490" TargetMode="External"/><Relationship Id="rId360" Type="http://schemas.openxmlformats.org/officeDocument/2006/relationships/hyperlink" Target="https://i5.samsclubimages.com/asr/0b4e48ce-aa94-4635-9821-e4ed7bd16a67.30eff893ab129875cfd92fd43923ade3.jpeg" TargetMode="External"/><Relationship Id="rId361" Type="http://schemas.openxmlformats.org/officeDocument/2006/relationships/hyperlink" Target="https://www.samsclub.com/ip/Olay-Complete-Sensitive-Moisturizer-SPF-40-6-fl-Oz-2-pk/19217155475" TargetMode="External"/><Relationship Id="rId362" Type="http://schemas.openxmlformats.org/officeDocument/2006/relationships/hyperlink" Target="https://americaneliteafrica.com/products/olay-complete-uv365-hydratant-spf15-peaux-sensibles" TargetMode="External"/><Relationship Id="rId363" Type="http://schemas.openxmlformats.org/officeDocument/2006/relationships/hyperlink" Target="https://i5.samsclubimages.com/asr/0ccb089e-2a01-473d-b1e7-6c39ff42a621.d81163b67b42ad77a91332fad19a8e59.jpeg" TargetMode="External"/><Relationship Id="rId364" Type="http://schemas.openxmlformats.org/officeDocument/2006/relationships/hyperlink" Target="https://www.samsclub.com/ip/Olay-Complete-Sensitive-Moisturizer-SPF-15-6-fl-oz-2-ct/7560902088" TargetMode="External"/><Relationship Id="rId365" Type="http://schemas.openxmlformats.org/officeDocument/2006/relationships/hyperlink" Target="https://americaneliteafrica.com/products/olay-creme-contour-yeux-anti-age" TargetMode="External"/><Relationship Id="rId366" Type="http://schemas.openxmlformats.org/officeDocument/2006/relationships/hyperlink" Target="https://i5.samsclubimages.com/asr/f1eb46c2-69f6-4c36-9eb2-b7994fe61dae.da1b0421336213b4b007870bc8605ee3.jpeg" TargetMode="External"/><Relationship Id="rId367" Type="http://schemas.openxmlformats.org/officeDocument/2006/relationships/hyperlink" Target="https://www.samsclub.com/ip/Olay-Eyes-Ultimate-All-In-One-Eye-Cream-0-4-fl-oz-2-pk/7560908128" TargetMode="External"/><Relationship Id="rId368" Type="http://schemas.openxmlformats.org/officeDocument/2006/relationships/hyperlink" Target="https://i5.samsclubimages.com/asr/86465e7e-fb7b-4976-8c5e-87c32eeb4438.fd3458e60ef36b2bdd067c56e264b7d1.jpeg" TargetMode="External"/><Relationship Id="rId369" Type="http://schemas.openxmlformats.org/officeDocument/2006/relationships/hyperlink" Target="https://www.samsclub.com/ip/Olay-Facial-Cleanser-and-Detoxifying-Pore-Scrub-Duo-Kit/13850722087" TargetMode="External"/><Relationship Id="rId370" Type="http://schemas.openxmlformats.org/officeDocument/2006/relationships/hyperlink" Target="https://americaneliteafrica.com/products/olay-serum-vitamine-c-eclat-40ml" TargetMode="External"/><Relationship Id="rId371" Type="http://schemas.openxmlformats.org/officeDocument/2006/relationships/hyperlink" Target="https://i5.samsclubimages.com/asr/fdfd84bb-b88f-4b78-b7b0-e46b35d2ca0b.c4c9e7b847b28f9184a4af29fa5f5cad.jpeg" TargetMode="External"/><Relationship Id="rId372" Type="http://schemas.openxmlformats.org/officeDocument/2006/relationships/hyperlink" Target="https://www.samsclub.com/ip/Olay-Regenerist-Vitamin-C-Peptide-24-Serum-1-3-fl-oz-2-pk/17983564097" TargetMode="External"/><Relationship Id="rId373" Type="http://schemas.openxmlformats.org/officeDocument/2006/relationships/hyperlink" Target="https://i5.samsclubimages.com/asr/212d1a3b-ecb5-4232-a6f5-7517a372dc09.7fd9f49359a66b1ec8c0aa6ce7d45c07.jpeg" TargetMode="External"/><Relationship Id="rId374" Type="http://schemas.openxmlformats.org/officeDocument/2006/relationships/hyperlink" Target="https://www.samsclub.com/ip/Olay-Super-Cream-with-Sunscreen-SPF-30-1-7-oz-2-pk/15400700842" TargetMode="External"/><Relationship Id="rId375" Type="http://schemas.openxmlformats.org/officeDocument/2006/relationships/hyperlink" Target="https://i5.samsclubimages.com/asr/b43fde24-6f27-46aa-afa9-f329f8e58c0a.e827f505cb52b9390ea1f140135a7cd4.jpeg" TargetMode="External"/><Relationship Id="rId376" Type="http://schemas.openxmlformats.org/officeDocument/2006/relationships/hyperlink" Target="https://www.samsclub.com/ip/Olay-Super-Eyes-Daily-Eye-Serum-0-45-fl-oz-2pk/15059356775" TargetMode="External"/><Relationship Id="rId377" Type="http://schemas.openxmlformats.org/officeDocument/2006/relationships/hyperlink" Target="https://i5.samsclubimages.com/asr/2b99aeb9-5602-4818-b208-d681d2cd9cd7.8dd71242ca2d400eca88c4f6cd43c108.jpeg" TargetMode="External"/><Relationship Id="rId378" Type="http://schemas.openxmlformats.org/officeDocument/2006/relationships/hyperlink" Target="https://www.samsclub.com/ip/Olay-Super-Glow-Essentials-Kit/17510568854" TargetMode="External"/><Relationship Id="rId379" Type="http://schemas.openxmlformats.org/officeDocument/2006/relationships/hyperlink" Target="https://americaneliteafrica.com/products/olay-super-serum-60-ml-1-fl-oz" TargetMode="External"/><Relationship Id="rId380" Type="http://schemas.openxmlformats.org/officeDocument/2006/relationships/hyperlink" Target="https://i5.samsclubimages.com/asr/e9ca491b-fb50-4507-ba1d-b5fa8391aefa.99893a59db1d8992cf5f07fb715e9f86.jpeg" TargetMode="External"/><Relationship Id="rId381" Type="http://schemas.openxmlformats.org/officeDocument/2006/relationships/hyperlink" Target="https://www.samsclub.com/ip/Olay-Super-Serum-1-fl-oz-2-pk/15519760450" TargetMode="External"/><Relationship Id="rId382" Type="http://schemas.openxmlformats.org/officeDocument/2006/relationships/hyperlink" Target="https://i5.samsclubimages.com/asr/1e649ea0-9de6-4edc-b0f7-a0bbd020c29f.705ee5aaff07574f3730edb271bb3a0c.jpeg" TargetMode="External"/><Relationship Id="rId383" Type="http://schemas.openxmlformats.org/officeDocument/2006/relationships/hyperlink" Target="https://www.samsclub.com/ip/Olay-Total-Effects-Face-Moisturizer-SPF-15-3-4-fl-oz/13868974309" TargetMode="External"/><Relationship Id="rId384" Type="http://schemas.openxmlformats.org/officeDocument/2006/relationships/hyperlink" Target="https://i5.samsclubimages.com/asr/5a18606f-c82e-40fc-9c79-d2d9db8c2b5c.cb17a235c55743715b298365ce6c8e58.jpeg" TargetMode="External"/><Relationship Id="rId385" Type="http://schemas.openxmlformats.org/officeDocument/2006/relationships/hyperlink" Target="https://www.samsclub.com/ip/Olay-Ultimate-3-in-1-Hydrating-Moisturizer-1-7-oz-2-pk/13971010151" TargetMode="External"/><Relationship Id="rId386" Type="http://schemas.openxmlformats.org/officeDocument/2006/relationships/hyperlink" Target="https://americaneliteafrica.com/products/olay-hydratant-vitamine-c-leger" TargetMode="External"/><Relationship Id="rId387" Type="http://schemas.openxmlformats.org/officeDocument/2006/relationships/hyperlink" Target="https://i5.samsclubimages.com/asr/e4daa924-cb21-4758-af04-94be061a09f0.74b73c3aad5046557beba7d5a8a25375.jpeg" TargetMode="External"/><Relationship Id="rId388" Type="http://schemas.openxmlformats.org/officeDocument/2006/relationships/hyperlink" Target="https://www.samsclub.com/ip/Olay-Ultimate-Vitamin-C-Hydrating-Moisturizer-1-7-oz-2-pk/13949502867" TargetMode="External"/><Relationship Id="rId389" Type="http://schemas.openxmlformats.org/officeDocument/2006/relationships/hyperlink" Target="https://fabellashop.com/produit/panoxyl-nettoyant-moussant-anti-acne-au-peroxyde-de-benzoyle-10/" TargetMode="External"/><Relationship Id="rId390" Type="http://schemas.openxmlformats.org/officeDocument/2006/relationships/hyperlink" Target="https://i5.samsclubimages.com/asr/0506517c-91c2-4f8d-abc9-cbd5208cfeee.02d76da7d80a42489d6b52627c7d98ca.jpeg" TargetMode="External"/><Relationship Id="rId391" Type="http://schemas.openxmlformats.org/officeDocument/2006/relationships/hyperlink" Target="https://www.samsclub.com/ip/PanOxyl-Acne-Foaming-Wash-10-Benzoyl-Peroxide-5-5-oz-2-pk/15243660444" TargetMode="External"/><Relationship Id="rId392" Type="http://schemas.openxmlformats.org/officeDocument/2006/relationships/hyperlink" Target="https://i5.samsclubimages.com/asr/b7a1d512-d3da-45e2-8599-ba4a39678fd8.46b12cbbcd84784a6eb8c58016738baf.jpeg" TargetMode="External"/><Relationship Id="rId393" Type="http://schemas.openxmlformats.org/officeDocument/2006/relationships/hyperlink" Target="https://www.samsclub.com/ip/RoC-Hydration-Replumping-Serum-Stick-0-7-fl-oz-2-pk/18478863125" TargetMode="External"/><Relationship Id="rId394" Type="http://schemas.openxmlformats.org/officeDocument/2006/relationships/hyperlink" Target="https://i5.samsclubimages.com/asr/3717b4d8-1a09-45bb-a277-79ee6749b6c0.38d75c06620539f7ef1a76f4b993813d.jpeg" TargetMode="External"/><Relationship Id="rId395" Type="http://schemas.openxmlformats.org/officeDocument/2006/relationships/hyperlink" Target="https://www.samsclub.com/ip/TruSkin-Vitamin-C-Serum-1-3-oz-2-pk/15990621427" TargetMode="External"/><Relationship Id="rId39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580</v>
      </c>
      <c r="C2" s="3" t="s">
        <v>2</v>
      </c>
    </row>
    <row r="3" customFormat="false" ht="15" hidden="false" customHeight="false" outlineLevel="0" collapsed="false">
      <c r="A3" s="0" t="s">
        <v>3</v>
      </c>
      <c r="B3" s="4" t="n">
        <v>0.05</v>
      </c>
      <c r="C3" s="3" t="s">
        <v>4</v>
      </c>
    </row>
    <row r="4" customFormat="false" ht="15" hidden="false" customHeight="false" outlineLevel="0" collapsed="false">
      <c r="A4" s="0" t="s">
        <v>5</v>
      </c>
      <c r="B4" s="2" t="n">
        <v>1100</v>
      </c>
      <c r="C4" s="3" t="s">
        <v>6</v>
      </c>
    </row>
    <row r="6" customFormat="false" ht="23.85" hidden="false" customHeight="false" outlineLevel="0" collapsed="false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customFormat="false" ht="15" hidden="false" customHeight="false" outlineLevel="0" collapsed="false">
      <c r="A7" s="6" t="s">
        <v>18</v>
      </c>
      <c r="B7" s="6" t="s">
        <v>19</v>
      </c>
      <c r="C7" s="7" t="n">
        <v>9.96</v>
      </c>
      <c r="D7" s="6"/>
      <c r="E7" s="6"/>
      <c r="F7" s="6" t="s">
        <v>20</v>
      </c>
      <c r="G7" s="8" t="n">
        <f aca="false">IF(ISNUMBER(D7),ROUND(D7*(1-$B$3)/100,0)*100,IF(ISNUMBER(C7),ROUND(C7*$B$4/100,0)*100,""))</f>
        <v>11000</v>
      </c>
      <c r="H7" s="9" t="n">
        <v>4.6</v>
      </c>
      <c r="I7" s="10" t="n">
        <v>114</v>
      </c>
      <c r="J7" s="11" t="s">
        <v>16</v>
      </c>
      <c r="K7" s="11" t="s">
        <v>8</v>
      </c>
    </row>
    <row r="8" customFormat="false" ht="15" hidden="false" customHeight="false" outlineLevel="0" collapsed="false">
      <c r="A8" s="6" t="s">
        <v>18</v>
      </c>
      <c r="B8" s="6" t="s">
        <v>21</v>
      </c>
      <c r="C8" s="7" t="n">
        <v>9.96</v>
      </c>
      <c r="D8" s="6"/>
      <c r="E8" s="6"/>
      <c r="F8" s="6" t="s">
        <v>20</v>
      </c>
      <c r="G8" s="8" t="n">
        <f aca="false">IF(ISNUMBER(D8),ROUND(D8*(1-$B$3)/100,0)*100,IF(ISNUMBER(C8),ROUND(C8*$B$4/100,0)*100,""))</f>
        <v>11000</v>
      </c>
      <c r="H8" s="9" t="n">
        <v>4.6</v>
      </c>
      <c r="I8" s="10" t="n">
        <v>110</v>
      </c>
      <c r="J8" s="11" t="s">
        <v>16</v>
      </c>
      <c r="K8" s="11" t="s">
        <v>8</v>
      </c>
    </row>
    <row r="9" customFormat="false" ht="15" hidden="false" customHeight="false" outlineLevel="0" collapsed="false">
      <c r="A9" s="6" t="s">
        <v>18</v>
      </c>
      <c r="B9" s="6" t="s">
        <v>22</v>
      </c>
      <c r="C9" s="7" t="n">
        <v>34.98</v>
      </c>
      <c r="D9" s="6"/>
      <c r="E9" s="6"/>
      <c r="F9" s="6" t="s">
        <v>20</v>
      </c>
      <c r="G9" s="8" t="n">
        <f aca="false">IF(ISNUMBER(D9),ROUND(D9*(1-$B$3)/100,0)*100,IF(ISNUMBER(C9),ROUND(C9*$B$4/100,0)*100,""))</f>
        <v>38500</v>
      </c>
      <c r="H9" s="6"/>
      <c r="I9" s="6"/>
      <c r="J9" s="11" t="s">
        <v>16</v>
      </c>
      <c r="K9" s="11" t="s">
        <v>8</v>
      </c>
    </row>
    <row r="10" customFormat="false" ht="15" hidden="false" customHeight="false" outlineLevel="0" collapsed="false">
      <c r="A10" s="6" t="s">
        <v>18</v>
      </c>
      <c r="B10" s="6" t="s">
        <v>23</v>
      </c>
      <c r="C10" s="7" t="n">
        <v>17.78</v>
      </c>
      <c r="D10" s="12" t="n">
        <v>5000</v>
      </c>
      <c r="E10" s="13" t="s">
        <v>24</v>
      </c>
      <c r="F10" s="14" t="s">
        <v>25</v>
      </c>
      <c r="G10" s="15" t="n">
        <f aca="false">IF(ISNUMBER(D10),ROUND(D10*(1-$B$3)/100,0)*100,IF(ISNUMBER(C10),ROUND(C10*$B$4/100,0)*100,""))</f>
        <v>4800</v>
      </c>
      <c r="H10" s="9" t="n">
        <v>4.56</v>
      </c>
      <c r="I10" s="10" t="n">
        <v>482</v>
      </c>
      <c r="J10" s="11" t="s">
        <v>16</v>
      </c>
      <c r="K10" s="11" t="s">
        <v>8</v>
      </c>
    </row>
    <row r="11" customFormat="false" ht="15" hidden="false" customHeight="false" outlineLevel="0" collapsed="false">
      <c r="A11" s="6" t="s">
        <v>18</v>
      </c>
      <c r="B11" s="6" t="s">
        <v>26</v>
      </c>
      <c r="C11" s="7" t="n">
        <v>171.75</v>
      </c>
      <c r="D11" s="6"/>
      <c r="E11" s="6"/>
      <c r="F11" s="6" t="s">
        <v>20</v>
      </c>
      <c r="G11" s="8" t="n">
        <f aca="false">IF(ISNUMBER(D11),ROUND(D11*(1-$B$3)/100,0)*100,IF(ISNUMBER(C11),ROUND(C11*$B$4/100,0)*100,""))</f>
        <v>188900</v>
      </c>
      <c r="H11" s="9" t="n">
        <v>1</v>
      </c>
      <c r="I11" s="10" t="n">
        <v>1</v>
      </c>
      <c r="J11" s="11" t="s">
        <v>16</v>
      </c>
      <c r="K11" s="11" t="s">
        <v>8</v>
      </c>
    </row>
    <row r="12" customFormat="false" ht="15" hidden="false" customHeight="false" outlineLevel="0" collapsed="false">
      <c r="A12" s="6" t="s">
        <v>18</v>
      </c>
      <c r="B12" s="6" t="s">
        <v>27</v>
      </c>
      <c r="C12" s="7" t="n">
        <v>14.98</v>
      </c>
      <c r="D12" s="6"/>
      <c r="E12" s="6"/>
      <c r="F12" s="6" t="s">
        <v>20</v>
      </c>
      <c r="G12" s="8" t="n">
        <f aca="false">IF(ISNUMBER(D12),ROUND(D12*(1-$B$3)/100,0)*100,IF(ISNUMBER(C12),ROUND(C12*$B$4/100,0)*100,""))</f>
        <v>16500</v>
      </c>
      <c r="H12" s="9" t="n">
        <v>4.35</v>
      </c>
      <c r="I12" s="10" t="n">
        <v>156</v>
      </c>
      <c r="J12" s="11" t="s">
        <v>16</v>
      </c>
      <c r="K12" s="11" t="s">
        <v>8</v>
      </c>
    </row>
    <row r="13" customFormat="false" ht="15" hidden="false" customHeight="false" outlineLevel="0" collapsed="false">
      <c r="A13" s="6" t="s">
        <v>18</v>
      </c>
      <c r="B13" s="6" t="s">
        <v>28</v>
      </c>
      <c r="C13" s="7" t="n">
        <v>21.87</v>
      </c>
      <c r="D13" s="6"/>
      <c r="E13" s="6"/>
      <c r="F13" s="6" t="s">
        <v>20</v>
      </c>
      <c r="G13" s="8" t="n">
        <f aca="false">IF(ISNUMBER(D13),ROUND(D13*(1-$B$3)/100,0)*100,IF(ISNUMBER(C13),ROUND(C13*$B$4/100,0)*100,""))</f>
        <v>24100</v>
      </c>
      <c r="H13" s="9" t="n">
        <v>4.5</v>
      </c>
      <c r="I13" s="10" t="n">
        <v>281</v>
      </c>
      <c r="J13" s="11" t="s">
        <v>16</v>
      </c>
      <c r="K13" s="11" t="s">
        <v>8</v>
      </c>
    </row>
    <row r="14" customFormat="false" ht="15" hidden="false" customHeight="false" outlineLevel="0" collapsed="false">
      <c r="A14" s="6" t="s">
        <v>18</v>
      </c>
      <c r="B14" s="6" t="s">
        <v>29</v>
      </c>
      <c r="C14" s="7" t="n">
        <v>24</v>
      </c>
      <c r="D14" s="6"/>
      <c r="E14" s="6"/>
      <c r="F14" s="6" t="s">
        <v>20</v>
      </c>
      <c r="G14" s="8" t="n">
        <f aca="false">IF(ISNUMBER(D14),ROUND(D14*(1-$B$3)/100,0)*100,IF(ISNUMBER(C14),ROUND(C14*$B$4/100,0)*100,""))</f>
        <v>26400</v>
      </c>
      <c r="H14" s="9" t="n">
        <v>4.4</v>
      </c>
      <c r="I14" s="10" t="n">
        <v>330</v>
      </c>
      <c r="J14" s="11" t="s">
        <v>16</v>
      </c>
      <c r="K14" s="11" t="s">
        <v>8</v>
      </c>
    </row>
    <row r="15" customFormat="false" ht="15" hidden="false" customHeight="false" outlineLevel="0" collapsed="false">
      <c r="A15" s="6" t="s">
        <v>18</v>
      </c>
      <c r="B15" s="6" t="s">
        <v>30</v>
      </c>
      <c r="C15" s="7" t="n">
        <v>32.98</v>
      </c>
      <c r="D15" s="6"/>
      <c r="E15" s="6"/>
      <c r="F15" s="6" t="s">
        <v>20</v>
      </c>
      <c r="G15" s="8" t="n">
        <f aca="false">IF(ISNUMBER(D15),ROUND(D15*(1-$B$3)/100,0)*100,IF(ISNUMBER(C15),ROUND(C15*$B$4/100,0)*100,""))</f>
        <v>36300</v>
      </c>
      <c r="H15" s="9" t="n">
        <v>3.71</v>
      </c>
      <c r="I15" s="10" t="n">
        <v>14</v>
      </c>
      <c r="J15" s="11" t="s">
        <v>16</v>
      </c>
      <c r="K15" s="11" t="s">
        <v>8</v>
      </c>
    </row>
    <row r="16" customFormat="false" ht="15" hidden="false" customHeight="false" outlineLevel="0" collapsed="false">
      <c r="A16" s="6" t="s">
        <v>18</v>
      </c>
      <c r="B16" s="6" t="s">
        <v>31</v>
      </c>
      <c r="C16" s="7" t="n">
        <v>19.98</v>
      </c>
      <c r="D16" s="6"/>
      <c r="E16" s="6"/>
      <c r="F16" s="6" t="s">
        <v>20</v>
      </c>
      <c r="G16" s="8" t="n">
        <f aca="false">IF(ISNUMBER(D16),ROUND(D16*(1-$B$3)/100,0)*100,IF(ISNUMBER(C16),ROUND(C16*$B$4/100,0)*100,""))</f>
        <v>22000</v>
      </c>
      <c r="H16" s="9" t="n">
        <v>4.51</v>
      </c>
      <c r="I16" s="10" t="n">
        <v>676</v>
      </c>
      <c r="J16" s="11" t="s">
        <v>16</v>
      </c>
      <c r="K16" s="11" t="s">
        <v>8</v>
      </c>
    </row>
    <row r="17" customFormat="false" ht="15" hidden="false" customHeight="false" outlineLevel="0" collapsed="false">
      <c r="A17" s="6" t="s">
        <v>18</v>
      </c>
      <c r="B17" s="6" t="s">
        <v>32</v>
      </c>
      <c r="C17" s="7" t="n">
        <v>91.98</v>
      </c>
      <c r="D17" s="6"/>
      <c r="E17" s="6"/>
      <c r="F17" s="6" t="s">
        <v>20</v>
      </c>
      <c r="G17" s="8" t="n">
        <f aca="false">IF(ISNUMBER(D17),ROUND(D17*(1-$B$3)/100,0)*100,IF(ISNUMBER(C17),ROUND(C17*$B$4/100,0)*100,""))</f>
        <v>101200</v>
      </c>
      <c r="H17" s="9" t="n">
        <v>3.72</v>
      </c>
      <c r="I17" s="10" t="n">
        <v>648</v>
      </c>
      <c r="J17" s="11" t="s">
        <v>16</v>
      </c>
      <c r="K17" s="11" t="s">
        <v>8</v>
      </c>
    </row>
    <row r="18" customFormat="false" ht="15" hidden="false" customHeight="false" outlineLevel="0" collapsed="false">
      <c r="A18" s="6" t="s">
        <v>18</v>
      </c>
      <c r="B18" s="6" t="s">
        <v>33</v>
      </c>
      <c r="C18" s="7" t="n">
        <v>26.98</v>
      </c>
      <c r="D18" s="12" t="n">
        <v>9500</v>
      </c>
      <c r="E18" s="13" t="s">
        <v>24</v>
      </c>
      <c r="F18" s="14" t="s">
        <v>25</v>
      </c>
      <c r="G18" s="15" t="n">
        <f aca="false">IF(ISNUMBER(D18),ROUND(D18*(1-$B$3)/100,0)*100,IF(ISNUMBER(C18),ROUND(C18*$B$4/100,0)*100,""))</f>
        <v>9000</v>
      </c>
      <c r="H18" s="9" t="n">
        <v>4.67</v>
      </c>
      <c r="I18" s="10" t="n">
        <v>12</v>
      </c>
      <c r="J18" s="11" t="s">
        <v>16</v>
      </c>
      <c r="K18" s="11" t="s">
        <v>8</v>
      </c>
    </row>
    <row r="19" customFormat="false" ht="15" hidden="false" customHeight="false" outlineLevel="0" collapsed="false">
      <c r="A19" s="6" t="s">
        <v>18</v>
      </c>
      <c r="B19" s="6" t="s">
        <v>34</v>
      </c>
      <c r="C19" s="7" t="n">
        <v>9.96</v>
      </c>
      <c r="D19" s="6"/>
      <c r="E19" s="6"/>
      <c r="F19" s="6" t="s">
        <v>20</v>
      </c>
      <c r="G19" s="8" t="n">
        <f aca="false">IF(ISNUMBER(D19),ROUND(D19*(1-$B$3)/100,0)*100,IF(ISNUMBER(C19),ROUND(C19*$B$4/100,0)*100,""))</f>
        <v>11000</v>
      </c>
      <c r="H19" s="9" t="n">
        <v>4.44</v>
      </c>
      <c r="I19" s="10" t="n">
        <v>280</v>
      </c>
      <c r="J19" s="11" t="s">
        <v>16</v>
      </c>
      <c r="K19" s="11" t="s">
        <v>8</v>
      </c>
    </row>
    <row r="20" customFormat="false" ht="15" hidden="false" customHeight="false" outlineLevel="0" collapsed="false">
      <c r="A20" s="6" t="s">
        <v>18</v>
      </c>
      <c r="B20" s="6" t="s">
        <v>35</v>
      </c>
      <c r="C20" s="7" t="n">
        <v>27.98</v>
      </c>
      <c r="D20" s="6"/>
      <c r="E20" s="6"/>
      <c r="F20" s="6" t="s">
        <v>20</v>
      </c>
      <c r="G20" s="8" t="n">
        <f aca="false">IF(ISNUMBER(D20),ROUND(D20*(1-$B$3)/100,0)*100,IF(ISNUMBER(C20),ROUND(C20*$B$4/100,0)*100,""))</f>
        <v>30800</v>
      </c>
      <c r="H20" s="9" t="n">
        <v>3.3</v>
      </c>
      <c r="I20" s="10" t="n">
        <v>40</v>
      </c>
      <c r="J20" s="11" t="s">
        <v>16</v>
      </c>
      <c r="K20" s="11" t="s">
        <v>8</v>
      </c>
    </row>
    <row r="21" customFormat="false" ht="15" hidden="false" customHeight="false" outlineLevel="0" collapsed="false">
      <c r="A21" s="6" t="s">
        <v>18</v>
      </c>
      <c r="B21" s="6" t="s">
        <v>36</v>
      </c>
      <c r="C21" s="7" t="n">
        <v>16.98</v>
      </c>
      <c r="D21" s="6"/>
      <c r="E21" s="6"/>
      <c r="F21" s="6" t="s">
        <v>20</v>
      </c>
      <c r="G21" s="8" t="n">
        <f aca="false">IF(ISNUMBER(D21),ROUND(D21*(1-$B$3)/100,0)*100,IF(ISNUMBER(C21),ROUND(C21*$B$4/100,0)*100,""))</f>
        <v>18700</v>
      </c>
      <c r="H21" s="9" t="n">
        <v>3.87</v>
      </c>
      <c r="I21" s="10" t="n">
        <v>93</v>
      </c>
      <c r="J21" s="11" t="s">
        <v>16</v>
      </c>
      <c r="K21" s="11" t="s">
        <v>8</v>
      </c>
    </row>
    <row r="22" customFormat="false" ht="15" hidden="false" customHeight="false" outlineLevel="0" collapsed="false">
      <c r="A22" s="6" t="s">
        <v>18</v>
      </c>
      <c r="B22" s="6" t="s">
        <v>37</v>
      </c>
      <c r="C22" s="6" t="s">
        <v>38</v>
      </c>
      <c r="D22" s="6"/>
      <c r="E22" s="6"/>
      <c r="F22" s="6" t="s">
        <v>20</v>
      </c>
      <c r="G22" s="8" t="str">
        <f aca="false">IF(ISNUMBER(D22),ROUND(D22*(1-$B$3)/100,0)*100,IF(ISNUMBER(C22),ROUND(C22*$B$4/100,0)*100,""))</f>
        <v/>
      </c>
      <c r="H22" s="9" t="n">
        <v>4.7</v>
      </c>
      <c r="I22" s="10" t="n">
        <v>1150</v>
      </c>
      <c r="J22" s="11" t="s">
        <v>16</v>
      </c>
      <c r="K22" s="11" t="s">
        <v>8</v>
      </c>
    </row>
    <row r="23" customFormat="false" ht="15" hidden="false" customHeight="false" outlineLevel="0" collapsed="false">
      <c r="A23" s="6" t="s">
        <v>18</v>
      </c>
      <c r="B23" s="6" t="s">
        <v>39</v>
      </c>
      <c r="C23" s="7" t="n">
        <v>7.98</v>
      </c>
      <c r="D23" s="6"/>
      <c r="E23" s="6"/>
      <c r="F23" s="6" t="s">
        <v>20</v>
      </c>
      <c r="G23" s="8" t="n">
        <f aca="false">IF(ISNUMBER(D23),ROUND(D23*(1-$B$3)/100,0)*100,IF(ISNUMBER(C23),ROUND(C23*$B$4/100,0)*100,""))</f>
        <v>8800</v>
      </c>
      <c r="H23" s="9" t="n">
        <v>4.76</v>
      </c>
      <c r="I23" s="10" t="n">
        <v>2009</v>
      </c>
      <c r="J23" s="11" t="s">
        <v>16</v>
      </c>
      <c r="K23" s="11" t="s">
        <v>8</v>
      </c>
    </row>
    <row r="24" customFormat="false" ht="15" hidden="false" customHeight="false" outlineLevel="0" collapsed="false">
      <c r="A24" s="6" t="s">
        <v>18</v>
      </c>
      <c r="B24" s="6" t="s">
        <v>40</v>
      </c>
      <c r="C24" s="7" t="n">
        <v>7.98</v>
      </c>
      <c r="D24" s="6"/>
      <c r="E24" s="6"/>
      <c r="F24" s="6" t="s">
        <v>20</v>
      </c>
      <c r="G24" s="8" t="n">
        <f aca="false">IF(ISNUMBER(D24),ROUND(D24*(1-$B$3)/100,0)*100,IF(ISNUMBER(C24),ROUND(C24*$B$4/100,0)*100,""))</f>
        <v>8800</v>
      </c>
      <c r="H24" s="9" t="n">
        <v>4.77</v>
      </c>
      <c r="I24" s="10" t="n">
        <v>2258</v>
      </c>
      <c r="J24" s="11" t="s">
        <v>16</v>
      </c>
      <c r="K24" s="11" t="s">
        <v>8</v>
      </c>
    </row>
    <row r="25" customFormat="false" ht="15" hidden="false" customHeight="false" outlineLevel="0" collapsed="false">
      <c r="A25" s="6" t="s">
        <v>18</v>
      </c>
      <c r="B25" s="6" t="s">
        <v>41</v>
      </c>
      <c r="C25" s="7" t="n">
        <v>11.98</v>
      </c>
      <c r="D25" s="6"/>
      <c r="E25" s="6"/>
      <c r="F25" s="6" t="s">
        <v>20</v>
      </c>
      <c r="G25" s="8" t="n">
        <f aca="false">IF(ISNUMBER(D25),ROUND(D25*(1-$B$3)/100,0)*100,IF(ISNUMBER(C25),ROUND(C25*$B$4/100,0)*100,""))</f>
        <v>13200</v>
      </c>
      <c r="H25" s="9" t="n">
        <v>4.64</v>
      </c>
      <c r="I25" s="10" t="n">
        <v>455</v>
      </c>
      <c r="J25" s="11" t="s">
        <v>16</v>
      </c>
      <c r="K25" s="11" t="s">
        <v>8</v>
      </c>
    </row>
    <row r="26" customFormat="false" ht="15" hidden="false" customHeight="false" outlineLevel="0" collapsed="false">
      <c r="A26" s="6" t="s">
        <v>18</v>
      </c>
      <c r="B26" s="6" t="s">
        <v>42</v>
      </c>
      <c r="C26" s="7" t="n">
        <v>494.25</v>
      </c>
      <c r="D26" s="6"/>
      <c r="E26" s="6"/>
      <c r="F26" s="6" t="s">
        <v>20</v>
      </c>
      <c r="G26" s="8" t="n">
        <f aca="false">IF(ISNUMBER(D26),ROUND(D26*(1-$B$3)/100,0)*100,IF(ISNUMBER(C26),ROUND(C26*$B$4/100,0)*100,""))</f>
        <v>543700</v>
      </c>
      <c r="H26" s="9" t="n">
        <v>5</v>
      </c>
      <c r="I26" s="10" t="n">
        <v>2</v>
      </c>
      <c r="J26" s="11" t="s">
        <v>16</v>
      </c>
      <c r="K26" s="11" t="s">
        <v>8</v>
      </c>
    </row>
    <row r="27" customFormat="false" ht="15" hidden="false" customHeight="false" outlineLevel="0" collapsed="false">
      <c r="A27" s="6" t="s">
        <v>43</v>
      </c>
      <c r="B27" s="6" t="s">
        <v>44</v>
      </c>
      <c r="C27" s="7" t="n">
        <v>16.97</v>
      </c>
      <c r="D27" s="12" t="n">
        <v>14500</v>
      </c>
      <c r="E27" s="13" t="s">
        <v>24</v>
      </c>
      <c r="F27" s="14" t="s">
        <v>25</v>
      </c>
      <c r="G27" s="15" t="n">
        <f aca="false">IF(ISNUMBER(D27),ROUND(D27*(1-$B$3)/100,0)*100,IF(ISNUMBER(C27),ROUND(C27*$B$4/100,0)*100,""))</f>
        <v>13800</v>
      </c>
      <c r="H27" s="9" t="n">
        <v>4.73</v>
      </c>
      <c r="I27" s="10" t="n">
        <v>71</v>
      </c>
      <c r="J27" s="11" t="s">
        <v>16</v>
      </c>
      <c r="K27" s="11" t="s">
        <v>8</v>
      </c>
    </row>
    <row r="28" customFormat="false" ht="15" hidden="false" customHeight="false" outlineLevel="0" collapsed="false">
      <c r="A28" s="6" t="s">
        <v>43</v>
      </c>
      <c r="B28" s="6" t="s">
        <v>45</v>
      </c>
      <c r="C28" s="7" t="n">
        <v>16.48</v>
      </c>
      <c r="D28" s="12" t="n">
        <v>16000</v>
      </c>
      <c r="E28" s="13" t="s">
        <v>24</v>
      </c>
      <c r="F28" s="14" t="s">
        <v>25</v>
      </c>
      <c r="G28" s="15" t="n">
        <f aca="false">IF(ISNUMBER(D28),ROUND(D28*(1-$B$3)/100,0)*100,IF(ISNUMBER(C28),ROUND(C28*$B$4/100,0)*100,""))</f>
        <v>15200</v>
      </c>
      <c r="H28" s="9" t="n">
        <v>4.76</v>
      </c>
      <c r="I28" s="10" t="n">
        <v>5729</v>
      </c>
      <c r="J28" s="11" t="s">
        <v>16</v>
      </c>
      <c r="K28" s="11" t="s">
        <v>8</v>
      </c>
    </row>
    <row r="29" customFormat="false" ht="15" hidden="false" customHeight="false" outlineLevel="0" collapsed="false">
      <c r="A29" s="6" t="s">
        <v>43</v>
      </c>
      <c r="B29" s="6" t="s">
        <v>46</v>
      </c>
      <c r="C29" s="7" t="n">
        <v>11.96</v>
      </c>
      <c r="D29" s="6"/>
      <c r="E29" s="6"/>
      <c r="F29" s="6" t="s">
        <v>20</v>
      </c>
      <c r="G29" s="8" t="n">
        <f aca="false">IF(ISNUMBER(D29),ROUND(D29*(1-$B$3)/100,0)*100,IF(ISNUMBER(C29),ROUND(C29*$B$4/100,0)*100,""))</f>
        <v>13200</v>
      </c>
      <c r="H29" s="9" t="n">
        <v>4.69</v>
      </c>
      <c r="I29" s="10" t="n">
        <v>1572</v>
      </c>
      <c r="J29" s="11" t="s">
        <v>16</v>
      </c>
      <c r="K29" s="11" t="s">
        <v>8</v>
      </c>
    </row>
    <row r="30" customFormat="false" ht="15" hidden="false" customHeight="false" outlineLevel="0" collapsed="false">
      <c r="A30" s="6" t="s">
        <v>43</v>
      </c>
      <c r="B30" s="6" t="s">
        <v>47</v>
      </c>
      <c r="C30" s="7" t="n">
        <v>22.76</v>
      </c>
      <c r="D30" s="12" t="n">
        <v>14000</v>
      </c>
      <c r="E30" s="13" t="s">
        <v>24</v>
      </c>
      <c r="F30" s="14" t="s">
        <v>25</v>
      </c>
      <c r="G30" s="15" t="n">
        <f aca="false">IF(ISNUMBER(D30),ROUND(D30*(1-$B$3)/100,0)*100,IF(ISNUMBER(C30),ROUND(C30*$B$4/100,0)*100,""))</f>
        <v>13300</v>
      </c>
      <c r="H30" s="9" t="n">
        <v>4.84</v>
      </c>
      <c r="I30" s="10" t="n">
        <v>488</v>
      </c>
      <c r="J30" s="11" t="s">
        <v>16</v>
      </c>
      <c r="K30" s="11" t="s">
        <v>8</v>
      </c>
    </row>
    <row r="31" customFormat="false" ht="15" hidden="false" customHeight="false" outlineLevel="0" collapsed="false">
      <c r="A31" s="6" t="s">
        <v>43</v>
      </c>
      <c r="B31" s="6" t="s">
        <v>48</v>
      </c>
      <c r="C31" s="6" t="s">
        <v>38</v>
      </c>
      <c r="D31" s="12" t="n">
        <v>10000</v>
      </c>
      <c r="E31" s="13" t="s">
        <v>24</v>
      </c>
      <c r="F31" s="14" t="s">
        <v>25</v>
      </c>
      <c r="G31" s="15" t="n">
        <f aca="false">IF(ISNUMBER(D31),ROUND(D31*(1-$B$3)/100,0)*100,IF(ISNUMBER(C31),ROUND(C31*$B$4/100,0)*100,""))</f>
        <v>9500</v>
      </c>
      <c r="H31" s="9" t="n">
        <v>4.77</v>
      </c>
      <c r="I31" s="10" t="n">
        <v>391</v>
      </c>
      <c r="J31" s="11" t="s">
        <v>16</v>
      </c>
      <c r="K31" s="11" t="s">
        <v>8</v>
      </c>
    </row>
    <row r="32" customFormat="false" ht="15" hidden="false" customHeight="false" outlineLevel="0" collapsed="false">
      <c r="A32" s="6" t="s">
        <v>43</v>
      </c>
      <c r="B32" s="6" t="s">
        <v>49</v>
      </c>
      <c r="C32" s="7" t="n">
        <v>18.48</v>
      </c>
      <c r="D32" s="12" t="n">
        <v>1000</v>
      </c>
      <c r="E32" s="13" t="s">
        <v>24</v>
      </c>
      <c r="F32" s="14" t="s">
        <v>25</v>
      </c>
      <c r="G32" s="15" t="n">
        <f aca="false">IF(ISNUMBER(D32),ROUND(D32*(1-$B$3)/100,0)*100,IF(ISNUMBER(C32),ROUND(C32*$B$4/100,0)*100,""))</f>
        <v>1000</v>
      </c>
      <c r="H32" s="9" t="n">
        <v>4.77</v>
      </c>
      <c r="I32" s="10" t="n">
        <v>103</v>
      </c>
      <c r="J32" s="11" t="s">
        <v>16</v>
      </c>
      <c r="K32" s="11" t="s">
        <v>8</v>
      </c>
    </row>
    <row r="33" customFormat="false" ht="15" hidden="false" customHeight="false" outlineLevel="0" collapsed="false">
      <c r="A33" s="6" t="s">
        <v>43</v>
      </c>
      <c r="B33" s="6" t="s">
        <v>50</v>
      </c>
      <c r="C33" s="7" t="n">
        <v>18.48</v>
      </c>
      <c r="D33" s="12" t="n">
        <v>1000</v>
      </c>
      <c r="E33" s="13" t="s">
        <v>24</v>
      </c>
      <c r="F33" s="14" t="s">
        <v>25</v>
      </c>
      <c r="G33" s="15" t="n">
        <f aca="false">IF(ISNUMBER(D33),ROUND(D33*(1-$B$3)/100,0)*100,IF(ISNUMBER(C33),ROUND(C33*$B$4/100,0)*100,""))</f>
        <v>1000</v>
      </c>
      <c r="H33" s="9" t="n">
        <v>4.72</v>
      </c>
      <c r="I33" s="10" t="n">
        <v>8057</v>
      </c>
      <c r="J33" s="11" t="s">
        <v>16</v>
      </c>
      <c r="K33" s="11" t="s">
        <v>8</v>
      </c>
    </row>
    <row r="34" customFormat="false" ht="15" hidden="false" customHeight="false" outlineLevel="0" collapsed="false">
      <c r="A34" s="6" t="s">
        <v>43</v>
      </c>
      <c r="B34" s="6" t="s">
        <v>51</v>
      </c>
      <c r="C34" s="7" t="n">
        <v>16.48</v>
      </c>
      <c r="D34" s="12" t="n">
        <v>7950</v>
      </c>
      <c r="E34" s="13" t="s">
        <v>24</v>
      </c>
      <c r="F34" s="14" t="s">
        <v>25</v>
      </c>
      <c r="G34" s="15" t="n">
        <f aca="false">IF(ISNUMBER(D34),ROUND(D34*(1-$B$3)/100,0)*100,IF(ISNUMBER(C34),ROUND(C34*$B$4/100,0)*100,""))</f>
        <v>7600</v>
      </c>
      <c r="H34" s="9" t="n">
        <v>4.8</v>
      </c>
      <c r="I34" s="10" t="n">
        <v>1348</v>
      </c>
      <c r="J34" s="11" t="s">
        <v>16</v>
      </c>
      <c r="K34" s="11" t="s">
        <v>8</v>
      </c>
    </row>
    <row r="35" customFormat="false" ht="15" hidden="false" customHeight="false" outlineLevel="0" collapsed="false">
      <c r="A35" s="6" t="s">
        <v>43</v>
      </c>
      <c r="B35" s="6" t="s">
        <v>52</v>
      </c>
      <c r="C35" s="7" t="n">
        <v>14.98</v>
      </c>
      <c r="D35" s="12" t="n">
        <v>2000</v>
      </c>
      <c r="E35" s="13" t="s">
        <v>24</v>
      </c>
      <c r="F35" s="14" t="s">
        <v>25</v>
      </c>
      <c r="G35" s="15" t="n">
        <f aca="false">IF(ISNUMBER(D35),ROUND(D35*(1-$B$3)/100,0)*100,IF(ISNUMBER(C35),ROUND(C35*$B$4/100,0)*100,""))</f>
        <v>1900</v>
      </c>
      <c r="H35" s="9" t="n">
        <v>4.58</v>
      </c>
      <c r="I35" s="10" t="n">
        <v>214</v>
      </c>
      <c r="J35" s="11" t="s">
        <v>16</v>
      </c>
      <c r="K35" s="11" t="s">
        <v>8</v>
      </c>
    </row>
    <row r="36" customFormat="false" ht="15" hidden="false" customHeight="false" outlineLevel="0" collapsed="false">
      <c r="A36" s="6" t="s">
        <v>43</v>
      </c>
      <c r="B36" s="6" t="s">
        <v>53</v>
      </c>
      <c r="C36" s="7" t="n">
        <v>16.48</v>
      </c>
      <c r="D36" s="12" t="n">
        <v>9900</v>
      </c>
      <c r="E36" s="13" t="s">
        <v>24</v>
      </c>
      <c r="F36" s="14" t="s">
        <v>25</v>
      </c>
      <c r="G36" s="15" t="n">
        <f aca="false">IF(ISNUMBER(D36),ROUND(D36*(1-$B$3)/100,0)*100,IF(ISNUMBER(C36),ROUND(C36*$B$4/100,0)*100,""))</f>
        <v>9400</v>
      </c>
      <c r="H36" s="9" t="n">
        <v>4.57</v>
      </c>
      <c r="I36" s="10" t="n">
        <v>126</v>
      </c>
      <c r="J36" s="11" t="s">
        <v>16</v>
      </c>
      <c r="K36" s="11" t="s">
        <v>8</v>
      </c>
    </row>
    <row r="37" customFormat="false" ht="15" hidden="false" customHeight="false" outlineLevel="0" collapsed="false">
      <c r="A37" s="6" t="s">
        <v>43</v>
      </c>
      <c r="B37" s="6" t="s">
        <v>54</v>
      </c>
      <c r="C37" s="7" t="n">
        <v>16.48</v>
      </c>
      <c r="D37" s="12" t="n">
        <v>7950</v>
      </c>
      <c r="E37" s="13" t="s">
        <v>24</v>
      </c>
      <c r="F37" s="14" t="s">
        <v>25</v>
      </c>
      <c r="G37" s="15" t="n">
        <f aca="false">IF(ISNUMBER(D37),ROUND(D37*(1-$B$3)/100,0)*100,IF(ISNUMBER(C37),ROUND(C37*$B$4/100,0)*100,""))</f>
        <v>7600</v>
      </c>
      <c r="H37" s="9" t="n">
        <v>4.78</v>
      </c>
      <c r="I37" s="10" t="n">
        <v>1603</v>
      </c>
      <c r="J37" s="11" t="s">
        <v>16</v>
      </c>
      <c r="K37" s="11" t="s">
        <v>8</v>
      </c>
    </row>
    <row r="38" customFormat="false" ht="15" hidden="false" customHeight="false" outlineLevel="0" collapsed="false">
      <c r="A38" s="6" t="s">
        <v>43</v>
      </c>
      <c r="B38" s="6" t="s">
        <v>55</v>
      </c>
      <c r="C38" s="7" t="n">
        <v>10.96</v>
      </c>
      <c r="D38" s="12" t="n">
        <v>1400</v>
      </c>
      <c r="E38" s="13" t="s">
        <v>24</v>
      </c>
      <c r="F38" s="14" t="s">
        <v>25</v>
      </c>
      <c r="G38" s="15" t="n">
        <f aca="false">IF(ISNUMBER(D38),ROUND(D38*(1-$B$3)/100,0)*100,IF(ISNUMBER(C38),ROUND(C38*$B$4/100,0)*100,""))</f>
        <v>1300</v>
      </c>
      <c r="H38" s="9" t="n">
        <v>4.69</v>
      </c>
      <c r="I38" s="10" t="n">
        <v>1165</v>
      </c>
      <c r="J38" s="11" t="s">
        <v>16</v>
      </c>
      <c r="K38" s="11" t="s">
        <v>8</v>
      </c>
    </row>
    <row r="39" customFormat="false" ht="15" hidden="false" customHeight="false" outlineLevel="0" collapsed="false">
      <c r="A39" s="6" t="s">
        <v>43</v>
      </c>
      <c r="B39" s="6" t="s">
        <v>56</v>
      </c>
      <c r="C39" s="7" t="n">
        <v>7.98</v>
      </c>
      <c r="D39" s="6"/>
      <c r="E39" s="6"/>
      <c r="F39" s="6" t="s">
        <v>20</v>
      </c>
      <c r="G39" s="8" t="n">
        <f aca="false">IF(ISNUMBER(D39),ROUND(D39*(1-$B$3)/100,0)*100,IF(ISNUMBER(C39),ROUND(C39*$B$4/100,0)*100,""))</f>
        <v>8800</v>
      </c>
      <c r="H39" s="9" t="n">
        <v>4.56</v>
      </c>
      <c r="I39" s="10" t="n">
        <v>6383</v>
      </c>
      <c r="J39" s="11" t="s">
        <v>16</v>
      </c>
      <c r="K39" s="11" t="s">
        <v>8</v>
      </c>
    </row>
    <row r="40" customFormat="false" ht="15" hidden="false" customHeight="false" outlineLevel="0" collapsed="false">
      <c r="A40" s="6" t="s">
        <v>43</v>
      </c>
      <c r="B40" s="6" t="s">
        <v>57</v>
      </c>
      <c r="C40" s="6" t="s">
        <v>38</v>
      </c>
      <c r="D40" s="6"/>
      <c r="E40" s="6"/>
      <c r="F40" s="6" t="s">
        <v>20</v>
      </c>
      <c r="G40" s="8" t="str">
        <f aca="false">IF(ISNUMBER(D40),ROUND(D40*(1-$B$3)/100,0)*100,IF(ISNUMBER(C40),ROUND(C40*$B$4/100,0)*100,""))</f>
        <v/>
      </c>
      <c r="H40" s="9" t="n">
        <v>4.82</v>
      </c>
      <c r="I40" s="10" t="n">
        <v>2537</v>
      </c>
      <c r="J40" s="11" t="s">
        <v>16</v>
      </c>
      <c r="K40" s="11" t="s">
        <v>8</v>
      </c>
    </row>
    <row r="41" customFormat="false" ht="15" hidden="false" customHeight="false" outlineLevel="0" collapsed="false">
      <c r="A41" s="6" t="s">
        <v>43</v>
      </c>
      <c r="B41" s="6" t="s">
        <v>58</v>
      </c>
      <c r="C41" s="7" t="n">
        <v>16.98</v>
      </c>
      <c r="D41" s="6"/>
      <c r="E41" s="6"/>
      <c r="F41" s="6" t="s">
        <v>20</v>
      </c>
      <c r="G41" s="8" t="n">
        <f aca="false">IF(ISNUMBER(D41),ROUND(D41*(1-$B$3)/100,0)*100,IF(ISNUMBER(C41),ROUND(C41*$B$4/100,0)*100,""))</f>
        <v>18700</v>
      </c>
      <c r="H41" s="6"/>
      <c r="I41" s="6"/>
      <c r="J41" s="11" t="s">
        <v>16</v>
      </c>
      <c r="K41" s="11" t="s">
        <v>8</v>
      </c>
    </row>
    <row r="42" customFormat="false" ht="15" hidden="false" customHeight="false" outlineLevel="0" collapsed="false">
      <c r="A42" s="6" t="s">
        <v>43</v>
      </c>
      <c r="B42" s="6" t="s">
        <v>59</v>
      </c>
      <c r="C42" s="7" t="n">
        <v>17.98</v>
      </c>
      <c r="D42" s="6"/>
      <c r="E42" s="6"/>
      <c r="F42" s="6" t="s">
        <v>20</v>
      </c>
      <c r="G42" s="8" t="n">
        <f aca="false">IF(ISNUMBER(D42),ROUND(D42*(1-$B$3)/100,0)*100,IF(ISNUMBER(C42),ROUND(C42*$B$4/100,0)*100,""))</f>
        <v>19800</v>
      </c>
      <c r="H42" s="9" t="n">
        <v>5</v>
      </c>
      <c r="I42" s="10" t="n">
        <v>2</v>
      </c>
      <c r="J42" s="11" t="s">
        <v>16</v>
      </c>
      <c r="K42" s="11" t="s">
        <v>8</v>
      </c>
    </row>
    <row r="43" customFormat="false" ht="15" hidden="false" customHeight="false" outlineLevel="0" collapsed="false">
      <c r="A43" s="6" t="s">
        <v>43</v>
      </c>
      <c r="B43" s="6" t="s">
        <v>60</v>
      </c>
      <c r="C43" s="7" t="n">
        <v>16.98</v>
      </c>
      <c r="D43" s="6"/>
      <c r="E43" s="6"/>
      <c r="F43" s="6" t="s">
        <v>20</v>
      </c>
      <c r="G43" s="8" t="n">
        <f aca="false">IF(ISNUMBER(D43),ROUND(D43*(1-$B$3)/100,0)*100,IF(ISNUMBER(C43),ROUND(C43*$B$4/100,0)*100,""))</f>
        <v>18700</v>
      </c>
      <c r="H43" s="9" t="n">
        <v>4.65</v>
      </c>
      <c r="I43" s="10" t="n">
        <v>115</v>
      </c>
      <c r="J43" s="11" t="s">
        <v>16</v>
      </c>
      <c r="K43" s="11" t="s">
        <v>8</v>
      </c>
    </row>
    <row r="44" customFormat="false" ht="15" hidden="false" customHeight="false" outlineLevel="0" collapsed="false">
      <c r="A44" s="6" t="s">
        <v>43</v>
      </c>
      <c r="B44" s="6" t="s">
        <v>61</v>
      </c>
      <c r="C44" s="7" t="n">
        <v>16.98</v>
      </c>
      <c r="D44" s="6"/>
      <c r="E44" s="6"/>
      <c r="F44" s="6" t="s">
        <v>20</v>
      </c>
      <c r="G44" s="8" t="n">
        <f aca="false">IF(ISNUMBER(D44),ROUND(D44*(1-$B$3)/100,0)*100,IF(ISNUMBER(C44),ROUND(C44*$B$4/100,0)*100,""))</f>
        <v>18700</v>
      </c>
      <c r="H44" s="9" t="n">
        <v>4.75</v>
      </c>
      <c r="I44" s="10" t="n">
        <v>345</v>
      </c>
      <c r="J44" s="11" t="s">
        <v>16</v>
      </c>
      <c r="K44" s="11" t="s">
        <v>8</v>
      </c>
    </row>
    <row r="45" customFormat="false" ht="15" hidden="false" customHeight="false" outlineLevel="0" collapsed="false">
      <c r="A45" s="6" t="s">
        <v>43</v>
      </c>
      <c r="B45" s="6" t="s">
        <v>62</v>
      </c>
      <c r="C45" s="7" t="n">
        <v>15.98</v>
      </c>
      <c r="D45" s="12" t="n">
        <v>9900</v>
      </c>
      <c r="E45" s="13" t="s">
        <v>24</v>
      </c>
      <c r="F45" s="14" t="s">
        <v>25</v>
      </c>
      <c r="G45" s="15" t="n">
        <f aca="false">IF(ISNUMBER(D45),ROUND(D45*(1-$B$3)/100,0)*100,IF(ISNUMBER(C45),ROUND(C45*$B$4/100,0)*100,""))</f>
        <v>9400</v>
      </c>
      <c r="H45" s="9" t="n">
        <v>4.76</v>
      </c>
      <c r="I45" s="10" t="n">
        <v>489</v>
      </c>
      <c r="J45" s="11" t="s">
        <v>16</v>
      </c>
      <c r="K45" s="11" t="s">
        <v>8</v>
      </c>
    </row>
    <row r="46" customFormat="false" ht="15" hidden="false" customHeight="false" outlineLevel="0" collapsed="false">
      <c r="A46" s="6" t="s">
        <v>43</v>
      </c>
      <c r="B46" s="6" t="s">
        <v>63</v>
      </c>
      <c r="C46" s="7" t="n">
        <v>14.94</v>
      </c>
      <c r="D46" s="12" t="n">
        <v>11500</v>
      </c>
      <c r="E46" s="13" t="s">
        <v>24</v>
      </c>
      <c r="F46" s="14" t="s">
        <v>25</v>
      </c>
      <c r="G46" s="15" t="n">
        <f aca="false">IF(ISNUMBER(D46),ROUND(D46*(1-$B$3)/100,0)*100,IF(ISNUMBER(C46),ROUND(C46*$B$4/100,0)*100,""))</f>
        <v>10900</v>
      </c>
      <c r="H46" s="9" t="n">
        <v>4.64</v>
      </c>
      <c r="I46" s="10" t="n">
        <v>2062</v>
      </c>
      <c r="J46" s="11" t="s">
        <v>16</v>
      </c>
      <c r="K46" s="11" t="s">
        <v>8</v>
      </c>
    </row>
    <row r="47" customFormat="false" ht="15" hidden="false" customHeight="false" outlineLevel="0" collapsed="false">
      <c r="A47" s="6" t="s">
        <v>43</v>
      </c>
      <c r="B47" s="6" t="s">
        <v>64</v>
      </c>
      <c r="C47" s="7" t="n">
        <v>13.41</v>
      </c>
      <c r="D47" s="6"/>
      <c r="E47" s="6"/>
      <c r="F47" s="6" t="s">
        <v>20</v>
      </c>
      <c r="G47" s="8" t="n">
        <f aca="false">IF(ISNUMBER(D47),ROUND(D47*(1-$B$3)/100,0)*100,IF(ISNUMBER(C47),ROUND(C47*$B$4/100,0)*100,""))</f>
        <v>14800</v>
      </c>
      <c r="H47" s="9" t="n">
        <v>4.75</v>
      </c>
      <c r="I47" s="10" t="n">
        <v>2198</v>
      </c>
      <c r="J47" s="11" t="s">
        <v>16</v>
      </c>
      <c r="K47" s="11" t="s">
        <v>8</v>
      </c>
    </row>
    <row r="48" customFormat="false" ht="15" hidden="false" customHeight="false" outlineLevel="0" collapsed="false">
      <c r="A48" s="6" t="s">
        <v>43</v>
      </c>
      <c r="B48" s="6" t="s">
        <v>65</v>
      </c>
      <c r="C48" s="7" t="n">
        <v>19.98</v>
      </c>
      <c r="D48" s="12" t="n">
        <v>11500</v>
      </c>
      <c r="E48" s="13" t="s">
        <v>24</v>
      </c>
      <c r="F48" s="14" t="s">
        <v>25</v>
      </c>
      <c r="G48" s="15" t="n">
        <f aca="false">IF(ISNUMBER(D48),ROUND(D48*(1-$B$3)/100,0)*100,IF(ISNUMBER(C48),ROUND(C48*$B$4/100,0)*100,""))</f>
        <v>10900</v>
      </c>
      <c r="H48" s="9" t="n">
        <v>4.75</v>
      </c>
      <c r="I48" s="10" t="n">
        <v>1550</v>
      </c>
      <c r="J48" s="11" t="s">
        <v>16</v>
      </c>
      <c r="K48" s="11" t="s">
        <v>8</v>
      </c>
    </row>
    <row r="49" customFormat="false" ht="15" hidden="false" customHeight="false" outlineLevel="0" collapsed="false">
      <c r="A49" s="6" t="s">
        <v>66</v>
      </c>
      <c r="B49" s="6" t="s">
        <v>67</v>
      </c>
      <c r="C49" s="7" t="n">
        <v>12.98</v>
      </c>
      <c r="D49" s="6"/>
      <c r="E49" s="6"/>
      <c r="F49" s="6" t="s">
        <v>20</v>
      </c>
      <c r="G49" s="8" t="n">
        <f aca="false">IF(ISNUMBER(D49),ROUND(D49*(1-$B$3)/100,0)*100,IF(ISNUMBER(C49),ROUND(C49*$B$4/100,0)*100,""))</f>
        <v>14300</v>
      </c>
      <c r="H49" s="9" t="n">
        <v>4.67</v>
      </c>
      <c r="I49" s="10" t="n">
        <v>2670</v>
      </c>
      <c r="J49" s="11" t="s">
        <v>16</v>
      </c>
      <c r="K49" s="11" t="s">
        <v>8</v>
      </c>
    </row>
    <row r="50" customFormat="false" ht="15" hidden="false" customHeight="false" outlineLevel="0" collapsed="false">
      <c r="A50" s="6" t="s">
        <v>66</v>
      </c>
      <c r="B50" s="6" t="s">
        <v>68</v>
      </c>
      <c r="C50" s="7" t="n">
        <v>14.98</v>
      </c>
      <c r="D50" s="6"/>
      <c r="E50" s="6"/>
      <c r="F50" s="6" t="s">
        <v>20</v>
      </c>
      <c r="G50" s="8" t="n">
        <f aca="false">IF(ISNUMBER(D50),ROUND(D50*(1-$B$3)/100,0)*100,IF(ISNUMBER(C50),ROUND(C50*$B$4/100,0)*100,""))</f>
        <v>16500</v>
      </c>
      <c r="H50" s="9" t="n">
        <v>4.73</v>
      </c>
      <c r="I50" s="10" t="n">
        <v>1615</v>
      </c>
      <c r="J50" s="11" t="s">
        <v>16</v>
      </c>
      <c r="K50" s="11" t="s">
        <v>8</v>
      </c>
    </row>
    <row r="51" customFormat="false" ht="15" hidden="false" customHeight="false" outlineLevel="0" collapsed="false">
      <c r="A51" s="6" t="s">
        <v>66</v>
      </c>
      <c r="B51" s="6" t="s">
        <v>69</v>
      </c>
      <c r="C51" s="7" t="n">
        <v>18.98</v>
      </c>
      <c r="D51" s="12" t="n">
        <v>5000</v>
      </c>
      <c r="E51" s="13" t="s">
        <v>24</v>
      </c>
      <c r="F51" s="14" t="s">
        <v>25</v>
      </c>
      <c r="G51" s="15" t="n">
        <f aca="false">IF(ISNUMBER(D51),ROUND(D51*(1-$B$3)/100,0)*100,IF(ISNUMBER(C51),ROUND(C51*$B$4/100,0)*100,""))</f>
        <v>4800</v>
      </c>
      <c r="H51" s="9" t="n">
        <v>4.38</v>
      </c>
      <c r="I51" s="10" t="n">
        <v>1437</v>
      </c>
      <c r="J51" s="11" t="s">
        <v>16</v>
      </c>
      <c r="K51" s="11" t="s">
        <v>8</v>
      </c>
    </row>
    <row r="52" customFormat="false" ht="15" hidden="false" customHeight="false" outlineLevel="0" collapsed="false">
      <c r="A52" s="6" t="s">
        <v>66</v>
      </c>
      <c r="B52" s="6" t="s">
        <v>70</v>
      </c>
      <c r="C52" s="7" t="n">
        <v>18.94</v>
      </c>
      <c r="D52" s="6"/>
      <c r="E52" s="6"/>
      <c r="F52" s="6" t="s">
        <v>20</v>
      </c>
      <c r="G52" s="8" t="n">
        <f aca="false">IF(ISNUMBER(D52),ROUND(D52*(1-$B$3)/100,0)*100,IF(ISNUMBER(C52),ROUND(C52*$B$4/100,0)*100,""))</f>
        <v>20800</v>
      </c>
      <c r="H52" s="9" t="n">
        <v>4.62</v>
      </c>
      <c r="I52" s="10" t="n">
        <v>908</v>
      </c>
      <c r="J52" s="11" t="s">
        <v>16</v>
      </c>
      <c r="K52" s="11" t="s">
        <v>8</v>
      </c>
    </row>
    <row r="53" customFormat="false" ht="15" hidden="false" customHeight="false" outlineLevel="0" collapsed="false">
      <c r="A53" s="6" t="s">
        <v>66</v>
      </c>
      <c r="B53" s="6" t="s">
        <v>71</v>
      </c>
      <c r="C53" s="7" t="n">
        <v>27.98</v>
      </c>
      <c r="D53" s="6"/>
      <c r="E53" s="6"/>
      <c r="F53" s="6" t="s">
        <v>20</v>
      </c>
      <c r="G53" s="8" t="n">
        <f aca="false">IF(ISNUMBER(D53),ROUND(D53*(1-$B$3)/100,0)*100,IF(ISNUMBER(C53),ROUND(C53*$B$4/100,0)*100,""))</f>
        <v>30800</v>
      </c>
      <c r="H53" s="9" t="n">
        <v>4.74</v>
      </c>
      <c r="I53" s="10" t="n">
        <v>472</v>
      </c>
      <c r="J53" s="11" t="s">
        <v>16</v>
      </c>
      <c r="K53" s="11" t="s">
        <v>8</v>
      </c>
    </row>
    <row r="54" customFormat="false" ht="15" hidden="false" customHeight="false" outlineLevel="0" collapsed="false">
      <c r="A54" s="6" t="s">
        <v>66</v>
      </c>
      <c r="B54" s="6" t="s">
        <v>72</v>
      </c>
      <c r="C54" s="7" t="n">
        <v>19.98</v>
      </c>
      <c r="D54" s="12" t="n">
        <v>14000</v>
      </c>
      <c r="E54" s="13" t="s">
        <v>24</v>
      </c>
      <c r="F54" s="14" t="s">
        <v>25</v>
      </c>
      <c r="G54" s="15" t="n">
        <f aca="false">IF(ISNUMBER(D54),ROUND(D54*(1-$B$3)/100,0)*100,IF(ISNUMBER(C54),ROUND(C54*$B$4/100,0)*100,""))</f>
        <v>13300</v>
      </c>
      <c r="H54" s="9" t="n">
        <v>4.66</v>
      </c>
      <c r="I54" s="10" t="n">
        <v>3643</v>
      </c>
      <c r="J54" s="11" t="s">
        <v>16</v>
      </c>
      <c r="K54" s="11" t="s">
        <v>8</v>
      </c>
    </row>
    <row r="55" customFormat="false" ht="15" hidden="false" customHeight="false" outlineLevel="0" collapsed="false">
      <c r="A55" s="6" t="s">
        <v>66</v>
      </c>
      <c r="B55" s="6" t="s">
        <v>73</v>
      </c>
      <c r="C55" s="7" t="n">
        <v>13.48</v>
      </c>
      <c r="D55" s="12" t="n">
        <v>17500</v>
      </c>
      <c r="E55" s="13" t="s">
        <v>24</v>
      </c>
      <c r="F55" s="14" t="s">
        <v>25</v>
      </c>
      <c r="G55" s="15" t="n">
        <f aca="false">IF(ISNUMBER(D55),ROUND(D55*(1-$B$3)/100,0)*100,IF(ISNUMBER(C55),ROUND(C55*$B$4/100,0)*100,""))</f>
        <v>16600</v>
      </c>
      <c r="H55" s="9" t="n">
        <v>4.68</v>
      </c>
      <c r="I55" s="10" t="n">
        <v>1069</v>
      </c>
      <c r="J55" s="11" t="s">
        <v>16</v>
      </c>
      <c r="K55" s="11" t="s">
        <v>8</v>
      </c>
    </row>
    <row r="56" customFormat="false" ht="15" hidden="false" customHeight="false" outlineLevel="0" collapsed="false">
      <c r="A56" s="6" t="s">
        <v>66</v>
      </c>
      <c r="B56" s="6" t="s">
        <v>74</v>
      </c>
      <c r="C56" s="7" t="n">
        <v>18.96</v>
      </c>
      <c r="D56" s="6"/>
      <c r="E56" s="6"/>
      <c r="F56" s="6" t="s">
        <v>20</v>
      </c>
      <c r="G56" s="8" t="n">
        <f aca="false">IF(ISNUMBER(D56),ROUND(D56*(1-$B$3)/100,0)*100,IF(ISNUMBER(C56),ROUND(C56*$B$4/100,0)*100,""))</f>
        <v>20900</v>
      </c>
      <c r="H56" s="9" t="n">
        <v>4.68</v>
      </c>
      <c r="I56" s="10" t="n">
        <v>4375</v>
      </c>
      <c r="J56" s="11" t="s">
        <v>16</v>
      </c>
      <c r="K56" s="11" t="s">
        <v>8</v>
      </c>
    </row>
    <row r="57" customFormat="false" ht="15" hidden="false" customHeight="false" outlineLevel="0" collapsed="false">
      <c r="A57" s="6" t="s">
        <v>66</v>
      </c>
      <c r="B57" s="6" t="s">
        <v>75</v>
      </c>
      <c r="C57" s="7" t="n">
        <v>14.98</v>
      </c>
      <c r="D57" s="6"/>
      <c r="E57" s="11" t="s">
        <v>24</v>
      </c>
      <c r="F57" s="6" t="s">
        <v>25</v>
      </c>
      <c r="G57" s="8" t="n">
        <f aca="false">IF(ISNUMBER(D57),ROUND(D57*(1-$B$3)/100,0)*100,IF(ISNUMBER(C57),ROUND(C57*$B$4/100,0)*100,""))</f>
        <v>16500</v>
      </c>
      <c r="H57" s="9" t="n">
        <v>4.62</v>
      </c>
      <c r="I57" s="10" t="n">
        <v>5155</v>
      </c>
      <c r="J57" s="11" t="s">
        <v>16</v>
      </c>
      <c r="K57" s="11" t="s">
        <v>8</v>
      </c>
    </row>
    <row r="58" customFormat="false" ht="15" hidden="false" customHeight="false" outlineLevel="0" collapsed="false">
      <c r="A58" s="6" t="s">
        <v>66</v>
      </c>
      <c r="B58" s="6" t="s">
        <v>76</v>
      </c>
      <c r="C58" s="7" t="n">
        <v>18.98</v>
      </c>
      <c r="D58" s="6"/>
      <c r="E58" s="6"/>
      <c r="F58" s="6" t="s">
        <v>20</v>
      </c>
      <c r="G58" s="8" t="n">
        <f aca="false">IF(ISNUMBER(D58),ROUND(D58*(1-$B$3)/100,0)*100,IF(ISNUMBER(C58),ROUND(C58*$B$4/100,0)*100,""))</f>
        <v>20900</v>
      </c>
      <c r="H58" s="9" t="n">
        <v>4.38</v>
      </c>
      <c r="I58" s="10" t="n">
        <v>10758</v>
      </c>
      <c r="J58" s="11" t="s">
        <v>16</v>
      </c>
      <c r="K58" s="11" t="s">
        <v>8</v>
      </c>
    </row>
    <row r="59" customFormat="false" ht="15" hidden="false" customHeight="false" outlineLevel="0" collapsed="false">
      <c r="A59" s="6" t="s">
        <v>77</v>
      </c>
      <c r="B59" s="6" t="s">
        <v>78</v>
      </c>
      <c r="C59" s="7" t="n">
        <v>15.98</v>
      </c>
      <c r="D59" s="12" t="n">
        <v>18750</v>
      </c>
      <c r="E59" s="13" t="s">
        <v>24</v>
      </c>
      <c r="F59" s="14" t="s">
        <v>25</v>
      </c>
      <c r="G59" s="15" t="n">
        <f aca="false">IF(ISNUMBER(D59),ROUND(D59*(1-$B$3)/100,0)*100,IF(ISNUMBER(C59),ROUND(C59*$B$4/100,0)*100,""))</f>
        <v>17800</v>
      </c>
      <c r="H59" s="9" t="n">
        <v>4.67</v>
      </c>
      <c r="I59" s="10" t="n">
        <v>578</v>
      </c>
      <c r="J59" s="11" t="s">
        <v>16</v>
      </c>
      <c r="K59" s="11" t="s">
        <v>8</v>
      </c>
    </row>
    <row r="60" customFormat="false" ht="15" hidden="false" customHeight="false" outlineLevel="0" collapsed="false">
      <c r="A60" s="6" t="s">
        <v>77</v>
      </c>
      <c r="B60" s="6" t="s">
        <v>79</v>
      </c>
      <c r="C60" s="7" t="n">
        <v>15.97</v>
      </c>
      <c r="D60" s="12" t="n">
        <v>14000</v>
      </c>
      <c r="E60" s="13" t="s">
        <v>24</v>
      </c>
      <c r="F60" s="14" t="s">
        <v>25</v>
      </c>
      <c r="G60" s="15" t="n">
        <f aca="false">IF(ISNUMBER(D60),ROUND(D60*(1-$B$3)/100,0)*100,IF(ISNUMBER(C60),ROUND(C60*$B$4/100,0)*100,""))</f>
        <v>13300</v>
      </c>
      <c r="H60" s="9" t="n">
        <v>4.26</v>
      </c>
      <c r="I60" s="10" t="n">
        <v>505</v>
      </c>
      <c r="J60" s="11" t="s">
        <v>16</v>
      </c>
      <c r="K60" s="11" t="s">
        <v>8</v>
      </c>
    </row>
    <row r="61" customFormat="false" ht="15" hidden="false" customHeight="false" outlineLevel="0" collapsed="false">
      <c r="A61" s="6" t="s">
        <v>77</v>
      </c>
      <c r="B61" s="6" t="s">
        <v>80</v>
      </c>
      <c r="C61" s="7" t="n">
        <v>9.91</v>
      </c>
      <c r="D61" s="6"/>
      <c r="E61" s="6"/>
      <c r="F61" s="6" t="s">
        <v>20</v>
      </c>
      <c r="G61" s="8" t="n">
        <f aca="false">IF(ISNUMBER(D61),ROUND(D61*(1-$B$3)/100,0)*100,IF(ISNUMBER(C61),ROUND(C61*$B$4/100,0)*100,""))</f>
        <v>10900</v>
      </c>
      <c r="H61" s="9" t="n">
        <v>4.8</v>
      </c>
      <c r="I61" s="10" t="n">
        <v>160</v>
      </c>
      <c r="J61" s="11" t="s">
        <v>16</v>
      </c>
      <c r="K61" s="11" t="s">
        <v>8</v>
      </c>
    </row>
    <row r="62" customFormat="false" ht="15" hidden="false" customHeight="false" outlineLevel="0" collapsed="false">
      <c r="A62" s="6" t="s">
        <v>77</v>
      </c>
      <c r="B62" s="6" t="s">
        <v>81</v>
      </c>
      <c r="C62" s="7" t="n">
        <v>11.48</v>
      </c>
      <c r="D62" s="12" t="n">
        <v>17500</v>
      </c>
      <c r="E62" s="13" t="s">
        <v>24</v>
      </c>
      <c r="F62" s="14" t="s">
        <v>25</v>
      </c>
      <c r="G62" s="15" t="n">
        <f aca="false">IF(ISNUMBER(D62),ROUND(D62*(1-$B$3)/100,0)*100,IF(ISNUMBER(C62),ROUND(C62*$B$4/100,0)*100,""))</f>
        <v>16600</v>
      </c>
      <c r="H62" s="9" t="n">
        <v>4.73</v>
      </c>
      <c r="I62" s="10" t="n">
        <v>5692</v>
      </c>
      <c r="J62" s="11" t="s">
        <v>16</v>
      </c>
      <c r="K62" s="11" t="s">
        <v>8</v>
      </c>
    </row>
    <row r="63" customFormat="false" ht="15" hidden="false" customHeight="false" outlineLevel="0" collapsed="false">
      <c r="A63" s="6" t="s">
        <v>77</v>
      </c>
      <c r="B63" s="6" t="s">
        <v>82</v>
      </c>
      <c r="C63" s="7" t="n">
        <v>15.82</v>
      </c>
      <c r="D63" s="12" t="n">
        <v>8000</v>
      </c>
      <c r="E63" s="13" t="s">
        <v>24</v>
      </c>
      <c r="F63" s="14" t="s">
        <v>25</v>
      </c>
      <c r="G63" s="15" t="n">
        <f aca="false">IF(ISNUMBER(D63),ROUND(D63*(1-$B$3)/100,0)*100,IF(ISNUMBER(C63),ROUND(C63*$B$4/100,0)*100,""))</f>
        <v>7600</v>
      </c>
      <c r="H63" s="9" t="n">
        <v>4.86</v>
      </c>
      <c r="I63" s="10" t="n">
        <v>1072</v>
      </c>
      <c r="J63" s="11" t="s">
        <v>16</v>
      </c>
      <c r="K63" s="11" t="s">
        <v>8</v>
      </c>
    </row>
    <row r="64" customFormat="false" ht="15" hidden="false" customHeight="false" outlineLevel="0" collapsed="false">
      <c r="A64" s="6" t="s">
        <v>77</v>
      </c>
      <c r="B64" s="6" t="s">
        <v>83</v>
      </c>
      <c r="C64" s="7" t="n">
        <v>12.97</v>
      </c>
      <c r="D64" s="12" t="n">
        <v>17400</v>
      </c>
      <c r="E64" s="13" t="s">
        <v>24</v>
      </c>
      <c r="F64" s="14" t="s">
        <v>25</v>
      </c>
      <c r="G64" s="15" t="n">
        <f aca="false">IF(ISNUMBER(D64),ROUND(D64*(1-$B$3)/100,0)*100,IF(ISNUMBER(C64),ROUND(C64*$B$4/100,0)*100,""))</f>
        <v>16500</v>
      </c>
      <c r="H64" s="9" t="n">
        <v>4.65</v>
      </c>
      <c r="I64" s="10" t="n">
        <v>81</v>
      </c>
      <c r="J64" s="11" t="s">
        <v>16</v>
      </c>
      <c r="K64" s="11" t="s">
        <v>8</v>
      </c>
    </row>
    <row r="65" customFormat="false" ht="15" hidden="false" customHeight="false" outlineLevel="0" collapsed="false">
      <c r="A65" s="6" t="s">
        <v>77</v>
      </c>
      <c r="B65" s="6" t="s">
        <v>84</v>
      </c>
      <c r="C65" s="7" t="n">
        <v>6.48</v>
      </c>
      <c r="D65" s="12" t="n">
        <v>21750</v>
      </c>
      <c r="E65" s="13" t="s">
        <v>24</v>
      </c>
      <c r="F65" s="14" t="s">
        <v>25</v>
      </c>
      <c r="G65" s="15" t="n">
        <f aca="false">IF(ISNUMBER(D65),ROUND(D65*(1-$B$3)/100,0)*100,IF(ISNUMBER(C65),ROUND(C65*$B$4/100,0)*100,""))</f>
        <v>20700</v>
      </c>
      <c r="H65" s="9" t="n">
        <v>4.64</v>
      </c>
      <c r="I65" s="10" t="n">
        <v>893</v>
      </c>
      <c r="J65" s="11" t="s">
        <v>16</v>
      </c>
      <c r="K65" s="11" t="s">
        <v>8</v>
      </c>
    </row>
    <row r="66" customFormat="false" ht="15" hidden="false" customHeight="false" outlineLevel="0" collapsed="false">
      <c r="A66" s="6" t="s">
        <v>77</v>
      </c>
      <c r="B66" s="6" t="s">
        <v>85</v>
      </c>
      <c r="C66" s="7" t="n">
        <v>11.98</v>
      </c>
      <c r="D66" s="12" t="n">
        <v>10000</v>
      </c>
      <c r="E66" s="13" t="s">
        <v>24</v>
      </c>
      <c r="F66" s="14" t="s">
        <v>25</v>
      </c>
      <c r="G66" s="15" t="n">
        <f aca="false">IF(ISNUMBER(D66),ROUND(D66*(1-$B$3)/100,0)*100,IF(ISNUMBER(C66),ROUND(C66*$B$4/100,0)*100,""))</f>
        <v>9500</v>
      </c>
      <c r="H66" s="9" t="n">
        <v>4.76</v>
      </c>
      <c r="I66" s="10" t="n">
        <v>2584</v>
      </c>
      <c r="J66" s="11" t="s">
        <v>16</v>
      </c>
      <c r="K66" s="11" t="s">
        <v>8</v>
      </c>
    </row>
    <row r="67" customFormat="false" ht="15" hidden="false" customHeight="false" outlineLevel="0" collapsed="false">
      <c r="A67" s="6" t="s">
        <v>77</v>
      </c>
      <c r="B67" s="6" t="s">
        <v>86</v>
      </c>
      <c r="C67" s="7" t="n">
        <v>8.97</v>
      </c>
      <c r="D67" s="6"/>
      <c r="E67" s="11" t="s">
        <v>24</v>
      </c>
      <c r="F67" s="6" t="s">
        <v>25</v>
      </c>
      <c r="G67" s="8" t="n">
        <f aca="false">IF(ISNUMBER(D67),ROUND(D67*(1-$B$3)/100,0)*100,IF(ISNUMBER(C67),ROUND(C67*$B$4/100,0)*100,""))</f>
        <v>9900</v>
      </c>
      <c r="H67" s="9" t="n">
        <v>4.7</v>
      </c>
      <c r="I67" s="10" t="n">
        <v>5343</v>
      </c>
      <c r="J67" s="11" t="s">
        <v>16</v>
      </c>
      <c r="K67" s="11" t="s">
        <v>8</v>
      </c>
    </row>
    <row r="68" customFormat="false" ht="15" hidden="false" customHeight="false" outlineLevel="0" collapsed="false">
      <c r="A68" s="6" t="s">
        <v>77</v>
      </c>
      <c r="B68" s="6" t="s">
        <v>87</v>
      </c>
      <c r="C68" s="7" t="n">
        <v>7.98</v>
      </c>
      <c r="D68" s="6"/>
      <c r="E68" s="6"/>
      <c r="F68" s="6" t="s">
        <v>20</v>
      </c>
      <c r="G68" s="8" t="n">
        <f aca="false">IF(ISNUMBER(D68),ROUND(D68*(1-$B$3)/100,0)*100,IF(ISNUMBER(C68),ROUND(C68*$B$4/100,0)*100,""))</f>
        <v>8800</v>
      </c>
      <c r="H68" s="9" t="n">
        <v>4.8</v>
      </c>
      <c r="I68" s="10" t="n">
        <v>402</v>
      </c>
      <c r="J68" s="11" t="s">
        <v>16</v>
      </c>
      <c r="K68" s="11" t="s">
        <v>8</v>
      </c>
    </row>
    <row r="69" customFormat="false" ht="15" hidden="false" customHeight="false" outlineLevel="0" collapsed="false">
      <c r="A69" s="6" t="s">
        <v>77</v>
      </c>
      <c r="B69" s="6" t="s">
        <v>88</v>
      </c>
      <c r="C69" s="7" t="n">
        <v>11.88</v>
      </c>
      <c r="D69" s="12" t="n">
        <v>7000</v>
      </c>
      <c r="E69" s="13" t="s">
        <v>24</v>
      </c>
      <c r="F69" s="14" t="s">
        <v>25</v>
      </c>
      <c r="G69" s="15" t="n">
        <f aca="false">IF(ISNUMBER(D69),ROUND(D69*(1-$B$3)/100,0)*100,IF(ISNUMBER(C69),ROUND(C69*$B$4/100,0)*100,""))</f>
        <v>6700</v>
      </c>
      <c r="H69" s="9" t="n">
        <v>4.8</v>
      </c>
      <c r="I69" s="10" t="n">
        <v>1722</v>
      </c>
      <c r="J69" s="11" t="s">
        <v>16</v>
      </c>
      <c r="K69" s="11" t="s">
        <v>8</v>
      </c>
    </row>
    <row r="70" customFormat="false" ht="15" hidden="false" customHeight="false" outlineLevel="0" collapsed="false">
      <c r="A70" s="6" t="s">
        <v>77</v>
      </c>
      <c r="B70" s="6" t="s">
        <v>89</v>
      </c>
      <c r="C70" s="7" t="n">
        <v>10.98</v>
      </c>
      <c r="D70" s="12" t="n">
        <v>7000</v>
      </c>
      <c r="E70" s="13" t="s">
        <v>24</v>
      </c>
      <c r="F70" s="14" t="s">
        <v>25</v>
      </c>
      <c r="G70" s="15" t="n">
        <f aca="false">IF(ISNUMBER(D70),ROUND(D70*(1-$B$3)/100,0)*100,IF(ISNUMBER(C70),ROUND(C70*$B$4/100,0)*100,""))</f>
        <v>6700</v>
      </c>
      <c r="H70" s="9" t="n">
        <v>4.8</v>
      </c>
      <c r="I70" s="10" t="n">
        <v>9565</v>
      </c>
      <c r="J70" s="11" t="s">
        <v>16</v>
      </c>
      <c r="K70" s="11" t="s">
        <v>8</v>
      </c>
    </row>
    <row r="71" customFormat="false" ht="15" hidden="false" customHeight="false" outlineLevel="0" collapsed="false">
      <c r="A71" s="6" t="s">
        <v>77</v>
      </c>
      <c r="B71" s="6" t="s">
        <v>90</v>
      </c>
      <c r="C71" s="7" t="n">
        <v>21.98</v>
      </c>
      <c r="D71" s="6"/>
      <c r="E71" s="11" t="s">
        <v>24</v>
      </c>
      <c r="F71" s="6" t="s">
        <v>25</v>
      </c>
      <c r="G71" s="8" t="n">
        <f aca="false">IF(ISNUMBER(D71),ROUND(D71*(1-$B$3)/100,0)*100,IF(ISNUMBER(C71),ROUND(C71*$B$4/100,0)*100,""))</f>
        <v>24200</v>
      </c>
      <c r="H71" s="9" t="n">
        <v>4.7</v>
      </c>
      <c r="I71" s="10" t="n">
        <v>1000</v>
      </c>
      <c r="J71" s="11" t="s">
        <v>16</v>
      </c>
      <c r="K71" s="11" t="s">
        <v>8</v>
      </c>
    </row>
    <row r="72" customFormat="false" ht="15" hidden="false" customHeight="false" outlineLevel="0" collapsed="false">
      <c r="A72" s="6" t="s">
        <v>77</v>
      </c>
      <c r="B72" s="6" t="s">
        <v>91</v>
      </c>
      <c r="C72" s="7" t="n">
        <v>12.48</v>
      </c>
      <c r="D72" s="12" t="n">
        <v>12000</v>
      </c>
      <c r="E72" s="13" t="s">
        <v>24</v>
      </c>
      <c r="F72" s="14" t="s">
        <v>25</v>
      </c>
      <c r="G72" s="15" t="n">
        <f aca="false">IF(ISNUMBER(D72),ROUND(D72*(1-$B$3)/100,0)*100,IF(ISNUMBER(C72),ROUND(C72*$B$4/100,0)*100,""))</f>
        <v>11400</v>
      </c>
      <c r="H72" s="9" t="n">
        <v>4.47</v>
      </c>
      <c r="I72" s="10" t="n">
        <v>714</v>
      </c>
      <c r="J72" s="11" t="s">
        <v>16</v>
      </c>
      <c r="K72" s="11" t="s">
        <v>8</v>
      </c>
    </row>
    <row r="73" customFormat="false" ht="15" hidden="false" customHeight="false" outlineLevel="0" collapsed="false">
      <c r="A73" s="6" t="s">
        <v>77</v>
      </c>
      <c r="B73" s="6" t="s">
        <v>92</v>
      </c>
      <c r="C73" s="7" t="n">
        <v>12.46</v>
      </c>
      <c r="D73" s="6"/>
      <c r="E73" s="6"/>
      <c r="F73" s="6" t="s">
        <v>20</v>
      </c>
      <c r="G73" s="8" t="n">
        <f aca="false">IF(ISNUMBER(D73),ROUND(D73*(1-$B$3)/100,0)*100,IF(ISNUMBER(C73),ROUND(C73*$B$4/100,0)*100,""))</f>
        <v>13700</v>
      </c>
      <c r="H73" s="9" t="n">
        <v>4.8</v>
      </c>
      <c r="I73" s="10" t="n">
        <v>252</v>
      </c>
      <c r="J73" s="11" t="s">
        <v>16</v>
      </c>
      <c r="K73" s="11" t="s">
        <v>8</v>
      </c>
    </row>
    <row r="74" customFormat="false" ht="15" hidden="false" customHeight="false" outlineLevel="0" collapsed="false">
      <c r="A74" s="6" t="s">
        <v>77</v>
      </c>
      <c r="B74" s="6" t="s">
        <v>93</v>
      </c>
      <c r="C74" s="7" t="n">
        <v>16.96</v>
      </c>
      <c r="D74" s="12" t="n">
        <v>12000</v>
      </c>
      <c r="E74" s="13" t="s">
        <v>24</v>
      </c>
      <c r="F74" s="14" t="s">
        <v>25</v>
      </c>
      <c r="G74" s="15" t="n">
        <f aca="false">IF(ISNUMBER(D74),ROUND(D74*(1-$B$3)/100,0)*100,IF(ISNUMBER(C74),ROUND(C74*$B$4/100,0)*100,""))</f>
        <v>11400</v>
      </c>
      <c r="H74" s="9" t="n">
        <v>4.75</v>
      </c>
      <c r="I74" s="10" t="n">
        <v>3835</v>
      </c>
      <c r="J74" s="11" t="s">
        <v>16</v>
      </c>
      <c r="K74" s="11" t="s">
        <v>8</v>
      </c>
    </row>
    <row r="75" customFormat="false" ht="15" hidden="false" customHeight="false" outlineLevel="0" collapsed="false">
      <c r="A75" s="6" t="s">
        <v>77</v>
      </c>
      <c r="B75" s="6" t="s">
        <v>94</v>
      </c>
      <c r="C75" s="7" t="n">
        <v>22.48</v>
      </c>
      <c r="D75" s="12" t="n">
        <v>26250</v>
      </c>
      <c r="E75" s="13" t="s">
        <v>24</v>
      </c>
      <c r="F75" s="14" t="s">
        <v>25</v>
      </c>
      <c r="G75" s="15" t="n">
        <f aca="false">IF(ISNUMBER(D75),ROUND(D75*(1-$B$3)/100,0)*100,IF(ISNUMBER(C75),ROUND(C75*$B$4/100,0)*100,""))</f>
        <v>24900</v>
      </c>
      <c r="H75" s="9" t="n">
        <v>4.63</v>
      </c>
      <c r="I75" s="10" t="n">
        <v>683</v>
      </c>
      <c r="J75" s="11" t="s">
        <v>16</v>
      </c>
      <c r="K75" s="11" t="s">
        <v>8</v>
      </c>
    </row>
    <row r="76" customFormat="false" ht="15" hidden="false" customHeight="false" outlineLevel="0" collapsed="false">
      <c r="A76" s="6" t="s">
        <v>77</v>
      </c>
      <c r="B76" s="6" t="s">
        <v>95</v>
      </c>
      <c r="C76" s="7" t="n">
        <v>26.48</v>
      </c>
      <c r="D76" s="12" t="n">
        <v>19000</v>
      </c>
      <c r="E76" s="13" t="s">
        <v>24</v>
      </c>
      <c r="F76" s="14" t="s">
        <v>25</v>
      </c>
      <c r="G76" s="15" t="n">
        <f aca="false">IF(ISNUMBER(D76),ROUND(D76*(1-$B$3)/100,0)*100,IF(ISNUMBER(C76),ROUND(C76*$B$4/100,0)*100,""))</f>
        <v>18100</v>
      </c>
      <c r="H76" s="9" t="n">
        <v>4.83</v>
      </c>
      <c r="I76" s="10" t="n">
        <v>605</v>
      </c>
      <c r="J76" s="11" t="s">
        <v>16</v>
      </c>
      <c r="K76" s="11" t="s">
        <v>8</v>
      </c>
    </row>
    <row r="77" customFormat="false" ht="15" hidden="false" customHeight="false" outlineLevel="0" collapsed="false">
      <c r="A77" s="6" t="s">
        <v>77</v>
      </c>
      <c r="B77" s="6" t="s">
        <v>96</v>
      </c>
      <c r="C77" s="7" t="n">
        <v>22.48</v>
      </c>
      <c r="D77" s="12" t="n">
        <v>18750</v>
      </c>
      <c r="E77" s="13" t="s">
        <v>24</v>
      </c>
      <c r="F77" s="14" t="s">
        <v>25</v>
      </c>
      <c r="G77" s="15" t="n">
        <f aca="false">IF(ISNUMBER(D77),ROUND(D77*(1-$B$3)/100,0)*100,IF(ISNUMBER(C77),ROUND(C77*$B$4/100,0)*100,""))</f>
        <v>17800</v>
      </c>
      <c r="H77" s="9" t="n">
        <v>4.49</v>
      </c>
      <c r="I77" s="10" t="n">
        <v>8332</v>
      </c>
      <c r="J77" s="11" t="s">
        <v>16</v>
      </c>
      <c r="K77" s="11" t="s">
        <v>8</v>
      </c>
    </row>
    <row r="78" customFormat="false" ht="15" hidden="false" customHeight="false" outlineLevel="0" collapsed="false">
      <c r="A78" s="6" t="s">
        <v>77</v>
      </c>
      <c r="B78" s="6" t="s">
        <v>97</v>
      </c>
      <c r="C78" s="7" t="n">
        <v>19.98</v>
      </c>
      <c r="D78" s="12" t="n">
        <v>18900</v>
      </c>
      <c r="E78" s="13" t="s">
        <v>24</v>
      </c>
      <c r="F78" s="14" t="s">
        <v>25</v>
      </c>
      <c r="G78" s="15" t="n">
        <f aca="false">IF(ISNUMBER(D78),ROUND(D78*(1-$B$3)/100,0)*100,IF(ISNUMBER(C78),ROUND(C78*$B$4/100,0)*100,""))</f>
        <v>18000</v>
      </c>
      <c r="H78" s="9" t="n">
        <v>4.61</v>
      </c>
      <c r="I78" s="10" t="n">
        <v>578</v>
      </c>
      <c r="J78" s="11" t="s">
        <v>16</v>
      </c>
      <c r="K78" s="11" t="s">
        <v>8</v>
      </c>
    </row>
    <row r="79" customFormat="false" ht="15" hidden="false" customHeight="false" outlineLevel="0" collapsed="false">
      <c r="A79" s="6" t="s">
        <v>98</v>
      </c>
      <c r="B79" s="6" t="s">
        <v>99</v>
      </c>
      <c r="C79" s="7" t="n">
        <v>18.56</v>
      </c>
      <c r="D79" s="6"/>
      <c r="E79" s="6"/>
      <c r="F79" s="6" t="s">
        <v>20</v>
      </c>
      <c r="G79" s="8" t="n">
        <f aca="false">IF(ISNUMBER(D79),ROUND(D79*(1-$B$3)/100,0)*100,IF(ISNUMBER(C79),ROUND(C79*$B$4/100,0)*100,""))</f>
        <v>20400</v>
      </c>
      <c r="H79" s="9" t="n">
        <v>3.5</v>
      </c>
      <c r="I79" s="10" t="n">
        <v>2</v>
      </c>
      <c r="J79" s="11" t="s">
        <v>16</v>
      </c>
      <c r="K79" s="11" t="s">
        <v>8</v>
      </c>
    </row>
    <row r="80" customFormat="false" ht="15" hidden="false" customHeight="false" outlineLevel="0" collapsed="false">
      <c r="A80" s="6" t="s">
        <v>98</v>
      </c>
      <c r="B80" s="6" t="s">
        <v>100</v>
      </c>
      <c r="C80" s="7" t="n">
        <v>35</v>
      </c>
      <c r="D80" s="6"/>
      <c r="E80" s="6"/>
      <c r="F80" s="6" t="s">
        <v>20</v>
      </c>
      <c r="G80" s="8" t="n">
        <f aca="false">IF(ISNUMBER(D80),ROUND(D80*(1-$B$3)/100,0)*100,IF(ISNUMBER(C80),ROUND(C80*$B$4/100,0)*100,""))</f>
        <v>38500</v>
      </c>
      <c r="H80" s="9" t="n">
        <v>3</v>
      </c>
      <c r="I80" s="10" t="n">
        <v>8</v>
      </c>
      <c r="J80" s="11" t="s">
        <v>16</v>
      </c>
      <c r="K80" s="11" t="s">
        <v>8</v>
      </c>
    </row>
    <row r="81" customFormat="false" ht="15" hidden="false" customHeight="false" outlineLevel="0" collapsed="false">
      <c r="A81" s="6" t="s">
        <v>98</v>
      </c>
      <c r="B81" s="6" t="s">
        <v>101</v>
      </c>
      <c r="C81" s="7" t="n">
        <v>26.98</v>
      </c>
      <c r="D81" s="12" t="n">
        <v>20500</v>
      </c>
      <c r="E81" s="13" t="s">
        <v>24</v>
      </c>
      <c r="F81" s="14" t="s">
        <v>25</v>
      </c>
      <c r="G81" s="15" t="n">
        <f aca="false">IF(ISNUMBER(D81),ROUND(D81*(1-$B$3)/100,0)*100,IF(ISNUMBER(C81),ROUND(C81*$B$4/100,0)*100,""))</f>
        <v>19500</v>
      </c>
      <c r="H81" s="9" t="n">
        <v>1.5</v>
      </c>
      <c r="I81" s="10" t="n">
        <v>2</v>
      </c>
      <c r="J81" s="11" t="s">
        <v>16</v>
      </c>
      <c r="K81" s="11" t="s">
        <v>8</v>
      </c>
    </row>
    <row r="82" customFormat="false" ht="15" hidden="false" customHeight="false" outlineLevel="0" collapsed="false">
      <c r="A82" s="6" t="s">
        <v>98</v>
      </c>
      <c r="B82" s="6" t="s">
        <v>102</v>
      </c>
      <c r="C82" s="7" t="n">
        <v>19.98</v>
      </c>
      <c r="D82" s="6"/>
      <c r="E82" s="6"/>
      <c r="F82" s="6" t="s">
        <v>20</v>
      </c>
      <c r="G82" s="8" t="n">
        <f aca="false">IF(ISNUMBER(D82),ROUND(D82*(1-$B$3)/100,0)*100,IF(ISNUMBER(C82),ROUND(C82*$B$4/100,0)*100,""))</f>
        <v>22000</v>
      </c>
      <c r="H82" s="9" t="n">
        <v>2.83</v>
      </c>
      <c r="I82" s="10" t="n">
        <v>6</v>
      </c>
      <c r="J82" s="11" t="s">
        <v>16</v>
      </c>
      <c r="K82" s="11" t="s">
        <v>8</v>
      </c>
    </row>
    <row r="83" customFormat="false" ht="15" hidden="false" customHeight="false" outlineLevel="0" collapsed="false">
      <c r="A83" s="6" t="s">
        <v>98</v>
      </c>
      <c r="B83" s="6" t="s">
        <v>103</v>
      </c>
      <c r="C83" s="7" t="n">
        <v>19.98</v>
      </c>
      <c r="D83" s="6"/>
      <c r="E83" s="6"/>
      <c r="F83" s="6" t="s">
        <v>20</v>
      </c>
      <c r="G83" s="8" t="n">
        <f aca="false">IF(ISNUMBER(D83),ROUND(D83*(1-$B$3)/100,0)*100,IF(ISNUMBER(C83),ROUND(C83*$B$4/100,0)*100,""))</f>
        <v>22000</v>
      </c>
      <c r="H83" s="9" t="n">
        <v>5</v>
      </c>
      <c r="I83" s="10" t="n">
        <v>4</v>
      </c>
      <c r="J83" s="11" t="s">
        <v>16</v>
      </c>
      <c r="K83" s="11" t="s">
        <v>8</v>
      </c>
    </row>
    <row r="84" customFormat="false" ht="15" hidden="false" customHeight="false" outlineLevel="0" collapsed="false">
      <c r="A84" s="6" t="s">
        <v>98</v>
      </c>
      <c r="B84" s="6" t="s">
        <v>104</v>
      </c>
      <c r="C84" s="7" t="n">
        <v>19.94</v>
      </c>
      <c r="D84" s="6"/>
      <c r="E84" s="6"/>
      <c r="F84" s="6" t="s">
        <v>20</v>
      </c>
      <c r="G84" s="8" t="n">
        <f aca="false">IF(ISNUMBER(D84),ROUND(D84*(1-$B$3)/100,0)*100,IF(ISNUMBER(C84),ROUND(C84*$B$4/100,0)*100,""))</f>
        <v>21900</v>
      </c>
      <c r="H84" s="9" t="n">
        <v>4.2</v>
      </c>
      <c r="I84" s="10" t="n">
        <v>128</v>
      </c>
      <c r="J84" s="11" t="s">
        <v>16</v>
      </c>
      <c r="K84" s="11" t="s">
        <v>8</v>
      </c>
    </row>
    <row r="85" customFormat="false" ht="15" hidden="false" customHeight="false" outlineLevel="0" collapsed="false">
      <c r="A85" s="6" t="s">
        <v>98</v>
      </c>
      <c r="B85" s="6" t="s">
        <v>105</v>
      </c>
      <c r="C85" s="7" t="n">
        <v>9.34</v>
      </c>
      <c r="D85" s="6"/>
      <c r="E85" s="6"/>
      <c r="F85" s="6" t="s">
        <v>20</v>
      </c>
      <c r="G85" s="8" t="n">
        <f aca="false">IF(ISNUMBER(D85),ROUND(D85*(1-$B$3)/100,0)*100,IF(ISNUMBER(C85),ROUND(C85*$B$4/100,0)*100,""))</f>
        <v>10300</v>
      </c>
      <c r="H85" s="9" t="n">
        <v>4.59</v>
      </c>
      <c r="I85" s="10" t="n">
        <v>6923</v>
      </c>
      <c r="J85" s="11" t="s">
        <v>16</v>
      </c>
      <c r="K85" s="11" t="s">
        <v>8</v>
      </c>
    </row>
    <row r="86" customFormat="false" ht="15" hidden="false" customHeight="false" outlineLevel="0" collapsed="false">
      <c r="A86" s="6" t="s">
        <v>106</v>
      </c>
      <c r="B86" s="6" t="s">
        <v>107</v>
      </c>
      <c r="C86" s="7" t="n">
        <v>74.33</v>
      </c>
      <c r="D86" s="12" t="n">
        <v>67000</v>
      </c>
      <c r="E86" s="13" t="s">
        <v>24</v>
      </c>
      <c r="F86" s="14" t="s">
        <v>108</v>
      </c>
      <c r="G86" s="15" t="n">
        <f aca="false">IF(ISNUMBER(D86),ROUND(D86*(1-$B$3)/100,0)*100,IF(ISNUMBER(C86),ROUND(C86*$B$4/100,0)*100,""))</f>
        <v>63700</v>
      </c>
      <c r="H86" s="9" t="n">
        <v>2.86</v>
      </c>
      <c r="I86" s="10" t="n">
        <v>7</v>
      </c>
      <c r="J86" s="11" t="s">
        <v>16</v>
      </c>
      <c r="K86" s="11" t="s">
        <v>8</v>
      </c>
    </row>
    <row r="87" customFormat="false" ht="15" hidden="false" customHeight="false" outlineLevel="0" collapsed="false">
      <c r="A87" s="6" t="s">
        <v>106</v>
      </c>
      <c r="B87" s="6" t="s">
        <v>109</v>
      </c>
      <c r="C87" s="7" t="n">
        <v>84.78</v>
      </c>
      <c r="D87" s="12" t="n">
        <v>65000</v>
      </c>
      <c r="E87" s="13" t="s">
        <v>24</v>
      </c>
      <c r="F87" s="14" t="s">
        <v>25</v>
      </c>
      <c r="G87" s="15" t="n">
        <f aca="false">IF(ISNUMBER(D87),ROUND(D87*(1-$B$3)/100,0)*100,IF(ISNUMBER(C87),ROUND(C87*$B$4/100,0)*100,""))</f>
        <v>61800</v>
      </c>
      <c r="H87" s="9" t="n">
        <v>4.8</v>
      </c>
      <c r="I87" s="10" t="n">
        <v>20</v>
      </c>
      <c r="J87" s="11" t="s">
        <v>16</v>
      </c>
      <c r="K87" s="11" t="s">
        <v>8</v>
      </c>
    </row>
    <row r="88" customFormat="false" ht="15" hidden="false" customHeight="false" outlineLevel="0" collapsed="false">
      <c r="A88" s="6" t="s">
        <v>106</v>
      </c>
      <c r="B88" s="6" t="s">
        <v>110</v>
      </c>
      <c r="C88" s="7" t="n">
        <v>34.98</v>
      </c>
      <c r="D88" s="6"/>
      <c r="E88" s="6"/>
      <c r="F88" s="6" t="s">
        <v>20</v>
      </c>
      <c r="G88" s="8" t="n">
        <f aca="false">IF(ISNUMBER(D88),ROUND(D88*(1-$B$3)/100,0)*100,IF(ISNUMBER(C88),ROUND(C88*$B$4/100,0)*100,""))</f>
        <v>38500</v>
      </c>
      <c r="H88" s="9" t="n">
        <v>4.34</v>
      </c>
      <c r="I88" s="10" t="n">
        <v>108</v>
      </c>
      <c r="J88" s="11" t="s">
        <v>16</v>
      </c>
      <c r="K88" s="11" t="s">
        <v>8</v>
      </c>
    </row>
    <row r="89" customFormat="false" ht="15" hidden="false" customHeight="false" outlineLevel="0" collapsed="false">
      <c r="A89" s="6" t="s">
        <v>106</v>
      </c>
      <c r="B89" s="6" t="s">
        <v>111</v>
      </c>
      <c r="C89" s="7" t="n">
        <v>34.98</v>
      </c>
      <c r="D89" s="6"/>
      <c r="E89" s="6"/>
      <c r="F89" s="6" t="s">
        <v>20</v>
      </c>
      <c r="G89" s="8" t="n">
        <f aca="false">IF(ISNUMBER(D89),ROUND(D89*(1-$B$3)/100,0)*100,IF(ISNUMBER(C89),ROUND(C89*$B$4/100,0)*100,""))</f>
        <v>38500</v>
      </c>
      <c r="H89" s="9" t="n">
        <v>4.7</v>
      </c>
      <c r="I89" s="10" t="n">
        <v>122</v>
      </c>
      <c r="J89" s="11" t="s">
        <v>16</v>
      </c>
      <c r="K89" s="11" t="s">
        <v>8</v>
      </c>
    </row>
    <row r="90" customFormat="false" ht="15" hidden="false" customHeight="false" outlineLevel="0" collapsed="false">
      <c r="A90" s="6" t="s">
        <v>106</v>
      </c>
      <c r="B90" s="6" t="s">
        <v>112</v>
      </c>
      <c r="C90" s="7" t="n">
        <v>29.84</v>
      </c>
      <c r="D90" s="12" t="n">
        <v>40000</v>
      </c>
      <c r="E90" s="13" t="s">
        <v>24</v>
      </c>
      <c r="F90" s="14" t="s">
        <v>25</v>
      </c>
      <c r="G90" s="15" t="n">
        <f aca="false">IF(ISNUMBER(D90),ROUND(D90*(1-$B$3)/100,0)*100,IF(ISNUMBER(C90),ROUND(C90*$B$4/100,0)*100,""))</f>
        <v>38000</v>
      </c>
      <c r="H90" s="9" t="n">
        <v>4.58</v>
      </c>
      <c r="I90" s="10" t="n">
        <v>1523</v>
      </c>
      <c r="J90" s="11" t="s">
        <v>16</v>
      </c>
      <c r="K90" s="11" t="s">
        <v>8</v>
      </c>
    </row>
    <row r="91" customFormat="false" ht="15" hidden="false" customHeight="false" outlineLevel="0" collapsed="false">
      <c r="A91" s="6" t="s">
        <v>106</v>
      </c>
      <c r="B91" s="6" t="s">
        <v>113</v>
      </c>
      <c r="C91" s="7" t="n">
        <v>299</v>
      </c>
      <c r="D91" s="12" t="n">
        <v>85000</v>
      </c>
      <c r="E91" s="13" t="s">
        <v>24</v>
      </c>
      <c r="F91" s="14" t="s">
        <v>25</v>
      </c>
      <c r="G91" s="15" t="n">
        <f aca="false">IF(ISNUMBER(D91),ROUND(D91*(1-$B$3)/100,0)*100,IF(ISNUMBER(C91),ROUND(C91*$B$4/100,0)*100,""))</f>
        <v>80800</v>
      </c>
      <c r="H91" s="9" t="n">
        <v>5</v>
      </c>
      <c r="I91" s="10" t="n">
        <v>1</v>
      </c>
      <c r="J91" s="11" t="s">
        <v>16</v>
      </c>
      <c r="K91" s="11" t="s">
        <v>8</v>
      </c>
    </row>
    <row r="92" customFormat="false" ht="15" hidden="false" customHeight="false" outlineLevel="0" collapsed="false">
      <c r="A92" s="6" t="s">
        <v>106</v>
      </c>
      <c r="B92" s="6" t="s">
        <v>114</v>
      </c>
      <c r="C92" s="7" t="n">
        <v>49.77</v>
      </c>
      <c r="D92" s="12" t="n">
        <v>58000</v>
      </c>
      <c r="E92" s="13" t="s">
        <v>24</v>
      </c>
      <c r="F92" s="14" t="s">
        <v>25</v>
      </c>
      <c r="G92" s="15" t="n">
        <f aca="false">IF(ISNUMBER(D92),ROUND(D92*(1-$B$3)/100,0)*100,IF(ISNUMBER(C92),ROUND(C92*$B$4/100,0)*100,""))</f>
        <v>55100</v>
      </c>
      <c r="H92" s="9" t="n">
        <v>4.7</v>
      </c>
      <c r="I92" s="10" t="n">
        <v>88</v>
      </c>
      <c r="J92" s="11" t="s">
        <v>16</v>
      </c>
      <c r="K92" s="11" t="s">
        <v>8</v>
      </c>
    </row>
    <row r="93" customFormat="false" ht="15" hidden="false" customHeight="false" outlineLevel="0" collapsed="false">
      <c r="A93" s="6" t="s">
        <v>106</v>
      </c>
      <c r="B93" s="6" t="s">
        <v>115</v>
      </c>
      <c r="C93" s="7" t="n">
        <v>64.98</v>
      </c>
      <c r="D93" s="12" t="n">
        <v>65000</v>
      </c>
      <c r="E93" s="13" t="s">
        <v>24</v>
      </c>
      <c r="F93" s="14" t="s">
        <v>25</v>
      </c>
      <c r="G93" s="15" t="n">
        <f aca="false">IF(ISNUMBER(D93),ROUND(D93*(1-$B$3)/100,0)*100,IF(ISNUMBER(C93),ROUND(C93*$B$4/100,0)*100,""))</f>
        <v>61800</v>
      </c>
      <c r="H93" s="9" t="n">
        <v>4.65</v>
      </c>
      <c r="I93" s="10" t="n">
        <v>204</v>
      </c>
      <c r="J93" s="11" t="s">
        <v>16</v>
      </c>
      <c r="K93" s="11" t="s">
        <v>8</v>
      </c>
    </row>
    <row r="94" customFormat="false" ht="15" hidden="false" customHeight="false" outlineLevel="0" collapsed="false">
      <c r="A94" s="6" t="s">
        <v>106</v>
      </c>
      <c r="B94" s="6" t="s">
        <v>116</v>
      </c>
      <c r="C94" s="7" t="n">
        <v>96.62</v>
      </c>
      <c r="D94" s="12" t="n">
        <v>40000</v>
      </c>
      <c r="E94" s="13" t="s">
        <v>24</v>
      </c>
      <c r="F94" s="14" t="s">
        <v>25</v>
      </c>
      <c r="G94" s="15" t="n">
        <f aca="false">IF(ISNUMBER(D94),ROUND(D94*(1-$B$3)/100,0)*100,IF(ISNUMBER(C94),ROUND(C94*$B$4/100,0)*100,""))</f>
        <v>38000</v>
      </c>
      <c r="H94" s="9" t="n">
        <v>4.6</v>
      </c>
      <c r="I94" s="10" t="n">
        <v>9</v>
      </c>
      <c r="J94" s="11" t="s">
        <v>16</v>
      </c>
      <c r="K94" s="11" t="s">
        <v>8</v>
      </c>
    </row>
    <row r="95" customFormat="false" ht="15" hidden="false" customHeight="false" outlineLevel="0" collapsed="false">
      <c r="A95" s="6" t="s">
        <v>106</v>
      </c>
      <c r="B95" s="6" t="s">
        <v>117</v>
      </c>
      <c r="C95" s="7" t="n">
        <v>129</v>
      </c>
      <c r="D95" s="12" t="n">
        <v>42000</v>
      </c>
      <c r="E95" s="13" t="s">
        <v>24</v>
      </c>
      <c r="F95" s="14" t="s">
        <v>25</v>
      </c>
      <c r="G95" s="15" t="n">
        <f aca="false">IF(ISNUMBER(D95),ROUND(D95*(1-$B$3)/100,0)*100,IF(ISNUMBER(C95),ROUND(C95*$B$4/100,0)*100,""))</f>
        <v>39900</v>
      </c>
      <c r="H95" s="9" t="n">
        <v>4.6</v>
      </c>
      <c r="I95" s="10" t="n">
        <v>26</v>
      </c>
      <c r="J95" s="11" t="s">
        <v>16</v>
      </c>
      <c r="K95" s="11" t="s">
        <v>8</v>
      </c>
    </row>
    <row r="96" customFormat="false" ht="15" hidden="false" customHeight="false" outlineLevel="0" collapsed="false">
      <c r="A96" s="6" t="s">
        <v>106</v>
      </c>
      <c r="B96" s="6" t="s">
        <v>118</v>
      </c>
      <c r="C96" s="7" t="n">
        <v>79.54</v>
      </c>
      <c r="D96" s="6"/>
      <c r="E96" s="6"/>
      <c r="F96" s="6" t="s">
        <v>20</v>
      </c>
      <c r="G96" s="8" t="n">
        <f aca="false">IF(ISNUMBER(D96),ROUND(D96*(1-$B$3)/100,0)*100,IF(ISNUMBER(C96),ROUND(C96*$B$4/100,0)*100,""))</f>
        <v>87500</v>
      </c>
      <c r="H96" s="9" t="n">
        <v>4.7</v>
      </c>
      <c r="I96" s="10" t="n">
        <v>65</v>
      </c>
      <c r="J96" s="11" t="s">
        <v>16</v>
      </c>
      <c r="K96" s="11" t="s">
        <v>8</v>
      </c>
    </row>
    <row r="97" customFormat="false" ht="15" hidden="false" customHeight="false" outlineLevel="0" collapsed="false">
      <c r="A97" s="6" t="s">
        <v>106</v>
      </c>
      <c r="B97" s="6" t="s">
        <v>119</v>
      </c>
      <c r="C97" s="7" t="n">
        <v>219.98</v>
      </c>
      <c r="D97" s="12" t="n">
        <v>170000</v>
      </c>
      <c r="E97" s="13" t="s">
        <v>24</v>
      </c>
      <c r="F97" s="14" t="s">
        <v>108</v>
      </c>
      <c r="G97" s="15" t="n">
        <f aca="false">IF(ISNUMBER(D97),ROUND(D97*(1-$B$3)/100,0)*100,IF(ISNUMBER(C97),ROUND(C97*$B$4/100,0)*100,""))</f>
        <v>161500</v>
      </c>
      <c r="H97" s="9" t="n">
        <v>4.5</v>
      </c>
      <c r="I97" s="10" t="n">
        <v>4</v>
      </c>
      <c r="J97" s="11" t="s">
        <v>16</v>
      </c>
      <c r="K97" s="11" t="s">
        <v>8</v>
      </c>
    </row>
    <row r="98" customFormat="false" ht="15" hidden="false" customHeight="false" outlineLevel="0" collapsed="false">
      <c r="A98" s="6" t="s">
        <v>106</v>
      </c>
      <c r="B98" s="6" t="s">
        <v>120</v>
      </c>
      <c r="C98" s="7" t="n">
        <v>89.78</v>
      </c>
      <c r="D98" s="12" t="n">
        <v>84000</v>
      </c>
      <c r="E98" s="13" t="s">
        <v>24</v>
      </c>
      <c r="F98" s="14" t="s">
        <v>25</v>
      </c>
      <c r="G98" s="15" t="n">
        <f aca="false">IF(ISNUMBER(D98),ROUND(D98*(1-$B$3)/100,0)*100,IF(ISNUMBER(C98),ROUND(C98*$B$4/100,0)*100,""))</f>
        <v>79800</v>
      </c>
      <c r="H98" s="9" t="n">
        <v>4.6</v>
      </c>
      <c r="I98" s="10" t="n">
        <v>26</v>
      </c>
      <c r="J98" s="11" t="s">
        <v>16</v>
      </c>
      <c r="K98" s="11" t="s">
        <v>8</v>
      </c>
    </row>
    <row r="99" customFormat="false" ht="15" hidden="false" customHeight="false" outlineLevel="0" collapsed="false">
      <c r="A99" s="6" t="s">
        <v>106</v>
      </c>
      <c r="B99" s="6" t="s">
        <v>121</v>
      </c>
      <c r="C99" s="7" t="n">
        <v>248.62</v>
      </c>
      <c r="D99" s="12" t="n">
        <v>236000</v>
      </c>
      <c r="E99" s="13" t="s">
        <v>24</v>
      </c>
      <c r="F99" s="14" t="s">
        <v>25</v>
      </c>
      <c r="G99" s="15" t="n">
        <f aca="false">IF(ISNUMBER(D99),ROUND(D99*(1-$B$3)/100,0)*100,IF(ISNUMBER(C99),ROUND(C99*$B$4/100,0)*100,""))</f>
        <v>224200</v>
      </c>
      <c r="H99" s="9" t="n">
        <v>5</v>
      </c>
      <c r="I99" s="10" t="n">
        <v>8</v>
      </c>
      <c r="J99" s="11" t="s">
        <v>16</v>
      </c>
      <c r="K99" s="11" t="s">
        <v>8</v>
      </c>
    </row>
    <row r="100" customFormat="false" ht="15" hidden="false" customHeight="false" outlineLevel="0" collapsed="false">
      <c r="A100" s="6" t="s">
        <v>106</v>
      </c>
      <c r="B100" s="6" t="s">
        <v>122</v>
      </c>
      <c r="C100" s="7" t="n">
        <v>169</v>
      </c>
      <c r="D100" s="12" t="n">
        <v>145000</v>
      </c>
      <c r="E100" s="13" t="s">
        <v>24</v>
      </c>
      <c r="F100" s="14" t="s">
        <v>108</v>
      </c>
      <c r="G100" s="15" t="n">
        <f aca="false">IF(ISNUMBER(D100),ROUND(D100*(1-$B$3)/100,0)*100,IF(ISNUMBER(C100),ROUND(C100*$B$4/100,0)*100,""))</f>
        <v>137800</v>
      </c>
      <c r="H100" s="9" t="n">
        <v>4.79</v>
      </c>
      <c r="I100" s="10" t="n">
        <v>24</v>
      </c>
      <c r="J100" s="11" t="s">
        <v>16</v>
      </c>
      <c r="K100" s="11" t="s">
        <v>8</v>
      </c>
    </row>
    <row r="101" customFormat="false" ht="15" hidden="false" customHeight="false" outlineLevel="0" collapsed="false">
      <c r="A101" s="6" t="s">
        <v>106</v>
      </c>
      <c r="B101" s="6" t="s">
        <v>123</v>
      </c>
      <c r="C101" s="7" t="n">
        <v>69.98</v>
      </c>
      <c r="D101" s="12" t="n">
        <v>64000</v>
      </c>
      <c r="E101" s="13" t="s">
        <v>24</v>
      </c>
      <c r="F101" s="14" t="s">
        <v>25</v>
      </c>
      <c r="G101" s="15" t="n">
        <f aca="false">IF(ISNUMBER(D101),ROUND(D101*(1-$B$3)/100,0)*100,IF(ISNUMBER(C101),ROUND(C101*$B$4/100,0)*100,""))</f>
        <v>60800</v>
      </c>
      <c r="H101" s="9" t="n">
        <v>4.9</v>
      </c>
      <c r="I101" s="10" t="n">
        <v>32</v>
      </c>
      <c r="J101" s="11" t="s">
        <v>16</v>
      </c>
      <c r="K101" s="11" t="s">
        <v>8</v>
      </c>
    </row>
    <row r="102" customFormat="false" ht="15" hidden="false" customHeight="false" outlineLevel="0" collapsed="false">
      <c r="A102" s="6" t="s">
        <v>106</v>
      </c>
      <c r="B102" s="6" t="s">
        <v>124</v>
      </c>
      <c r="C102" s="7" t="n">
        <v>64.98</v>
      </c>
      <c r="D102" s="12" t="n">
        <v>58000</v>
      </c>
      <c r="E102" s="13" t="s">
        <v>24</v>
      </c>
      <c r="F102" s="14" t="s">
        <v>25</v>
      </c>
      <c r="G102" s="15" t="n">
        <f aca="false">IF(ISNUMBER(D102),ROUND(D102*(1-$B$3)/100,0)*100,IF(ISNUMBER(C102),ROUND(C102*$B$4/100,0)*100,""))</f>
        <v>55100</v>
      </c>
      <c r="H102" s="9" t="n">
        <v>4.7</v>
      </c>
      <c r="I102" s="10" t="n">
        <v>457</v>
      </c>
      <c r="J102" s="11" t="s">
        <v>16</v>
      </c>
      <c r="K102" s="11" t="s">
        <v>8</v>
      </c>
    </row>
    <row r="103" customFormat="false" ht="15" hidden="false" customHeight="false" outlineLevel="0" collapsed="false">
      <c r="A103" s="6" t="s">
        <v>106</v>
      </c>
      <c r="B103" s="6" t="s">
        <v>125</v>
      </c>
      <c r="C103" s="7" t="n">
        <v>78</v>
      </c>
      <c r="D103" s="6"/>
      <c r="E103" s="6"/>
      <c r="F103" s="6" t="s">
        <v>20</v>
      </c>
      <c r="G103" s="8" t="n">
        <f aca="false">IF(ISNUMBER(D103),ROUND(D103*(1-$B$3)/100,0)*100,IF(ISNUMBER(C103),ROUND(C103*$B$4/100,0)*100,""))</f>
        <v>85800</v>
      </c>
      <c r="H103" s="9" t="n">
        <v>5</v>
      </c>
      <c r="I103" s="10" t="n">
        <v>4</v>
      </c>
      <c r="J103" s="11" t="s">
        <v>16</v>
      </c>
      <c r="K103" s="11" t="s">
        <v>8</v>
      </c>
    </row>
    <row r="104" customFormat="false" ht="15" hidden="false" customHeight="false" outlineLevel="0" collapsed="false">
      <c r="A104" s="6" t="s">
        <v>106</v>
      </c>
      <c r="B104" s="6" t="s">
        <v>126</v>
      </c>
      <c r="C104" s="7" t="n">
        <v>109</v>
      </c>
      <c r="D104" s="12" t="n">
        <v>85000</v>
      </c>
      <c r="E104" s="13" t="s">
        <v>24</v>
      </c>
      <c r="F104" s="14" t="s">
        <v>108</v>
      </c>
      <c r="G104" s="15" t="n">
        <f aca="false">IF(ISNUMBER(D104),ROUND(D104*(1-$B$3)/100,0)*100,IF(ISNUMBER(C104),ROUND(C104*$B$4/100,0)*100,""))</f>
        <v>80800</v>
      </c>
      <c r="H104" s="6"/>
      <c r="I104" s="6"/>
      <c r="J104" s="11" t="s">
        <v>16</v>
      </c>
      <c r="K104" s="11" t="s">
        <v>8</v>
      </c>
    </row>
    <row r="105" customFormat="false" ht="15" hidden="false" customHeight="false" outlineLevel="0" collapsed="false">
      <c r="A105" s="6" t="s">
        <v>127</v>
      </c>
      <c r="B105" s="6" t="s">
        <v>128</v>
      </c>
      <c r="C105" s="7" t="n">
        <v>16.67</v>
      </c>
      <c r="D105" s="6"/>
      <c r="E105" s="6"/>
      <c r="F105" s="6" t="s">
        <v>20</v>
      </c>
      <c r="G105" s="8" t="n">
        <f aca="false">IF(ISNUMBER(D105),ROUND(D105*(1-$B$3)/100,0)*100,IF(ISNUMBER(C105),ROUND(C105*$B$4/100,0)*100,""))</f>
        <v>18300</v>
      </c>
      <c r="H105" s="9" t="n">
        <v>4.39</v>
      </c>
      <c r="I105" s="10" t="n">
        <v>335</v>
      </c>
      <c r="J105" s="11" t="s">
        <v>16</v>
      </c>
      <c r="K105" s="11" t="s">
        <v>8</v>
      </c>
    </row>
    <row r="106" customFormat="false" ht="15" hidden="false" customHeight="false" outlineLevel="0" collapsed="false">
      <c r="A106" s="6" t="s">
        <v>127</v>
      </c>
      <c r="B106" s="6" t="s">
        <v>129</v>
      </c>
      <c r="C106" s="7" t="n">
        <v>19.98</v>
      </c>
      <c r="D106" s="6"/>
      <c r="E106" s="6"/>
      <c r="F106" s="6" t="s">
        <v>20</v>
      </c>
      <c r="G106" s="8" t="n">
        <f aca="false">IF(ISNUMBER(D106),ROUND(D106*(1-$B$3)/100,0)*100,IF(ISNUMBER(C106),ROUND(C106*$B$4/100,0)*100,""))</f>
        <v>22000</v>
      </c>
      <c r="H106" s="9" t="n">
        <v>4.75</v>
      </c>
      <c r="I106" s="10" t="n">
        <v>224</v>
      </c>
      <c r="J106" s="11" t="s">
        <v>16</v>
      </c>
      <c r="K106" s="11" t="s">
        <v>8</v>
      </c>
    </row>
    <row r="107" customFormat="false" ht="15" hidden="false" customHeight="false" outlineLevel="0" collapsed="false">
      <c r="A107" s="6" t="s">
        <v>127</v>
      </c>
      <c r="B107" s="6" t="s">
        <v>130</v>
      </c>
      <c r="C107" s="7" t="n">
        <v>14.98</v>
      </c>
      <c r="D107" s="6"/>
      <c r="E107" s="6"/>
      <c r="F107" s="6" t="s">
        <v>20</v>
      </c>
      <c r="G107" s="8" t="n">
        <f aca="false">IF(ISNUMBER(D107),ROUND(D107*(1-$B$3)/100,0)*100,IF(ISNUMBER(C107),ROUND(C107*$B$4/100,0)*100,""))</f>
        <v>16500</v>
      </c>
      <c r="H107" s="9" t="n">
        <v>4.58</v>
      </c>
      <c r="I107" s="10" t="n">
        <v>117</v>
      </c>
      <c r="J107" s="11" t="s">
        <v>16</v>
      </c>
      <c r="K107" s="11" t="s">
        <v>8</v>
      </c>
    </row>
    <row r="108" customFormat="false" ht="15" hidden="false" customHeight="false" outlineLevel="0" collapsed="false">
      <c r="A108" s="6" t="s">
        <v>127</v>
      </c>
      <c r="B108" s="6" t="s">
        <v>131</v>
      </c>
      <c r="C108" s="7" t="n">
        <v>18.98</v>
      </c>
      <c r="D108" s="6"/>
      <c r="E108" s="6"/>
      <c r="F108" s="6" t="s">
        <v>20</v>
      </c>
      <c r="G108" s="8" t="n">
        <f aca="false">IF(ISNUMBER(D108),ROUND(D108*(1-$B$3)/100,0)*100,IF(ISNUMBER(C108),ROUND(C108*$B$4/100,0)*100,""))</f>
        <v>20900</v>
      </c>
      <c r="H108" s="9" t="n">
        <v>4.55</v>
      </c>
      <c r="I108" s="10" t="n">
        <v>615</v>
      </c>
      <c r="J108" s="11" t="s">
        <v>16</v>
      </c>
      <c r="K108" s="11" t="s">
        <v>8</v>
      </c>
    </row>
    <row r="109" customFormat="false" ht="15" hidden="false" customHeight="false" outlineLevel="0" collapsed="false">
      <c r="A109" s="6" t="s">
        <v>127</v>
      </c>
      <c r="B109" s="6" t="s">
        <v>132</v>
      </c>
      <c r="C109" s="6" t="s">
        <v>38</v>
      </c>
      <c r="D109" s="6"/>
      <c r="E109" s="6"/>
      <c r="F109" s="6" t="s">
        <v>20</v>
      </c>
      <c r="G109" s="8" t="str">
        <f aca="false">IF(ISNUMBER(D109),ROUND(D109*(1-$B$3)/100,0)*100,IF(ISNUMBER(C109),ROUND(C109*$B$4/100,0)*100,""))</f>
        <v/>
      </c>
      <c r="H109" s="9" t="n">
        <v>4.6</v>
      </c>
      <c r="I109" s="10" t="n">
        <v>1046</v>
      </c>
      <c r="J109" s="11" t="s">
        <v>16</v>
      </c>
      <c r="K109" s="11" t="s">
        <v>8</v>
      </c>
    </row>
    <row r="110" customFormat="false" ht="15" hidden="false" customHeight="false" outlineLevel="0" collapsed="false">
      <c r="A110" s="6" t="s">
        <v>127</v>
      </c>
      <c r="B110" s="6" t="s">
        <v>133</v>
      </c>
      <c r="C110" s="7" t="n">
        <v>19.96</v>
      </c>
      <c r="D110" s="12" t="n">
        <v>12000</v>
      </c>
      <c r="E110" s="13" t="s">
        <v>24</v>
      </c>
      <c r="F110" s="14" t="s">
        <v>25</v>
      </c>
      <c r="G110" s="15" t="n">
        <f aca="false">IF(ISNUMBER(D110),ROUND(D110*(1-$B$3)/100,0)*100,IF(ISNUMBER(C110),ROUND(C110*$B$4/100,0)*100,""))</f>
        <v>11400</v>
      </c>
      <c r="H110" s="9" t="n">
        <v>4.7</v>
      </c>
      <c r="I110" s="10" t="n">
        <v>152</v>
      </c>
      <c r="J110" s="11" t="s">
        <v>16</v>
      </c>
      <c r="K110" s="11" t="s">
        <v>8</v>
      </c>
    </row>
    <row r="111" customFormat="false" ht="15" hidden="false" customHeight="false" outlineLevel="0" collapsed="false">
      <c r="A111" s="6" t="s">
        <v>127</v>
      </c>
      <c r="B111" s="6" t="s">
        <v>134</v>
      </c>
      <c r="C111" s="7" t="n">
        <v>29.98</v>
      </c>
      <c r="D111" s="6"/>
      <c r="E111" s="6"/>
      <c r="F111" s="6" t="s">
        <v>20</v>
      </c>
      <c r="G111" s="8" t="n">
        <f aca="false">IF(ISNUMBER(D111),ROUND(D111*(1-$B$3)/100,0)*100,IF(ISNUMBER(C111),ROUND(C111*$B$4/100,0)*100,""))</f>
        <v>33000</v>
      </c>
      <c r="H111" s="6"/>
      <c r="I111" s="6"/>
      <c r="J111" s="11" t="s">
        <v>16</v>
      </c>
      <c r="K111" s="11" t="s">
        <v>8</v>
      </c>
    </row>
    <row r="112" customFormat="false" ht="15" hidden="false" customHeight="false" outlineLevel="0" collapsed="false">
      <c r="A112" s="6" t="s">
        <v>127</v>
      </c>
      <c r="B112" s="6" t="s">
        <v>135</v>
      </c>
      <c r="C112" s="7" t="n">
        <v>34.98</v>
      </c>
      <c r="D112" s="6"/>
      <c r="E112" s="11" t="s">
        <v>24</v>
      </c>
      <c r="F112" s="6" t="s">
        <v>25</v>
      </c>
      <c r="G112" s="8" t="n">
        <f aca="false">IF(ISNUMBER(D112),ROUND(D112*(1-$B$3)/100,0)*100,IF(ISNUMBER(C112),ROUND(C112*$B$4/100,0)*100,""))</f>
        <v>38500</v>
      </c>
      <c r="H112" s="9" t="n">
        <v>5</v>
      </c>
      <c r="I112" s="10" t="n">
        <v>4</v>
      </c>
      <c r="J112" s="11" t="s">
        <v>16</v>
      </c>
      <c r="K112" s="11" t="s">
        <v>8</v>
      </c>
    </row>
    <row r="113" customFormat="false" ht="15" hidden="false" customHeight="false" outlineLevel="0" collapsed="false">
      <c r="A113" s="6" t="s">
        <v>136</v>
      </c>
      <c r="B113" s="6" t="s">
        <v>137</v>
      </c>
      <c r="C113" s="6" t="s">
        <v>38</v>
      </c>
      <c r="D113" s="6"/>
      <c r="E113" s="6"/>
      <c r="F113" s="6" t="s">
        <v>20</v>
      </c>
      <c r="G113" s="8" t="str">
        <f aca="false">IF(ISNUMBER(D113),ROUND(D113*(1-$B$3)/100,0)*100,IF(ISNUMBER(C113),ROUND(C113*$B$4/100,0)*100,""))</f>
        <v/>
      </c>
      <c r="H113" s="9" t="n">
        <v>4.11</v>
      </c>
      <c r="I113" s="10" t="n">
        <v>131</v>
      </c>
      <c r="J113" s="11" t="s">
        <v>16</v>
      </c>
      <c r="K113" s="11" t="s">
        <v>8</v>
      </c>
    </row>
    <row r="114" customFormat="false" ht="15" hidden="false" customHeight="false" outlineLevel="0" collapsed="false">
      <c r="A114" s="6" t="s">
        <v>136</v>
      </c>
      <c r="B114" s="6" t="s">
        <v>138</v>
      </c>
      <c r="C114" s="7" t="n">
        <v>149.98</v>
      </c>
      <c r="D114" s="6"/>
      <c r="E114" s="6"/>
      <c r="F114" s="6" t="s">
        <v>20</v>
      </c>
      <c r="G114" s="8" t="n">
        <f aca="false">IF(ISNUMBER(D114),ROUND(D114*(1-$B$3)/100,0)*100,IF(ISNUMBER(C114),ROUND(C114*$B$4/100,0)*100,""))</f>
        <v>165000</v>
      </c>
      <c r="H114" s="9" t="n">
        <v>4.47</v>
      </c>
      <c r="I114" s="10" t="n">
        <v>237</v>
      </c>
      <c r="J114" s="11" t="s">
        <v>16</v>
      </c>
      <c r="K114" s="11" t="s">
        <v>8</v>
      </c>
    </row>
    <row r="115" customFormat="false" ht="15" hidden="false" customHeight="false" outlineLevel="0" collapsed="false">
      <c r="A115" s="6" t="s">
        <v>136</v>
      </c>
      <c r="B115" s="6" t="s">
        <v>139</v>
      </c>
      <c r="C115" s="7" t="n">
        <v>79.98</v>
      </c>
      <c r="D115" s="6"/>
      <c r="E115" s="6"/>
      <c r="F115" s="6" t="s">
        <v>20</v>
      </c>
      <c r="G115" s="8" t="n">
        <f aca="false">IF(ISNUMBER(D115),ROUND(D115*(1-$B$3)/100,0)*100,IF(ISNUMBER(C115),ROUND(C115*$B$4/100,0)*100,""))</f>
        <v>88000</v>
      </c>
      <c r="H115" s="9" t="n">
        <v>4.35</v>
      </c>
      <c r="I115" s="10" t="n">
        <v>129</v>
      </c>
      <c r="J115" s="11" t="s">
        <v>16</v>
      </c>
      <c r="K115" s="11" t="s">
        <v>8</v>
      </c>
    </row>
    <row r="116" customFormat="false" ht="15" hidden="false" customHeight="false" outlineLevel="0" collapsed="false">
      <c r="A116" s="6" t="s">
        <v>136</v>
      </c>
      <c r="B116" s="6" t="s">
        <v>140</v>
      </c>
      <c r="C116" s="7" t="n">
        <v>99.99</v>
      </c>
      <c r="D116" s="12" t="n">
        <v>95500</v>
      </c>
      <c r="E116" s="13" t="s">
        <v>24</v>
      </c>
      <c r="F116" s="14" t="s">
        <v>25</v>
      </c>
      <c r="G116" s="15" t="n">
        <f aca="false">IF(ISNUMBER(D116),ROUND(D116*(1-$B$3)/100,0)*100,IF(ISNUMBER(C116),ROUND(C116*$B$4/100,0)*100,""))</f>
        <v>90700</v>
      </c>
      <c r="H116" s="9" t="n">
        <v>4.15</v>
      </c>
      <c r="I116" s="10" t="n">
        <v>59</v>
      </c>
      <c r="J116" s="11" t="s">
        <v>16</v>
      </c>
      <c r="K116" s="11" t="s">
        <v>8</v>
      </c>
    </row>
    <row r="117" customFormat="false" ht="15" hidden="false" customHeight="false" outlineLevel="0" collapsed="false">
      <c r="A117" s="6" t="s">
        <v>136</v>
      </c>
      <c r="B117" s="6" t="s">
        <v>141</v>
      </c>
      <c r="C117" s="7" t="n">
        <v>10.48</v>
      </c>
      <c r="D117" s="6"/>
      <c r="E117" s="6"/>
      <c r="F117" s="6" t="s">
        <v>20</v>
      </c>
      <c r="G117" s="8" t="n">
        <f aca="false">IF(ISNUMBER(D117),ROUND(D117*(1-$B$3)/100,0)*100,IF(ISNUMBER(C117),ROUND(C117*$B$4/100,0)*100,""))</f>
        <v>11500</v>
      </c>
      <c r="H117" s="9" t="n">
        <v>4.54</v>
      </c>
      <c r="I117" s="10" t="n">
        <v>779</v>
      </c>
      <c r="J117" s="11" t="s">
        <v>16</v>
      </c>
      <c r="K117" s="11" t="s">
        <v>8</v>
      </c>
    </row>
    <row r="118" customFormat="false" ht="15" hidden="false" customHeight="false" outlineLevel="0" collapsed="false">
      <c r="A118" s="6" t="s">
        <v>136</v>
      </c>
      <c r="B118" s="6" t="s">
        <v>142</v>
      </c>
      <c r="C118" s="6" t="s">
        <v>38</v>
      </c>
      <c r="D118" s="6"/>
      <c r="E118" s="11" t="s">
        <v>24</v>
      </c>
      <c r="F118" s="6" t="s">
        <v>25</v>
      </c>
      <c r="G118" s="8" t="str">
        <f aca="false">IF(ISNUMBER(D118),ROUND(D118*(1-$B$3)/100,0)*100,IF(ISNUMBER(C118),ROUND(C118*$B$4/100,0)*100,""))</f>
        <v/>
      </c>
      <c r="H118" s="9" t="n">
        <v>4.65</v>
      </c>
      <c r="I118" s="10" t="n">
        <v>5992</v>
      </c>
      <c r="J118" s="11" t="s">
        <v>16</v>
      </c>
      <c r="K118" s="11" t="s">
        <v>8</v>
      </c>
    </row>
    <row r="119" customFormat="false" ht="15" hidden="false" customHeight="false" outlineLevel="0" collapsed="false">
      <c r="A119" s="6" t="s">
        <v>136</v>
      </c>
      <c r="B119" s="6" t="s">
        <v>143</v>
      </c>
      <c r="C119" s="7" t="n">
        <v>49.98</v>
      </c>
      <c r="D119" s="6"/>
      <c r="E119" s="6"/>
      <c r="F119" s="6" t="s">
        <v>20</v>
      </c>
      <c r="G119" s="8" t="n">
        <f aca="false">IF(ISNUMBER(D119),ROUND(D119*(1-$B$3)/100,0)*100,IF(ISNUMBER(C119),ROUND(C119*$B$4/100,0)*100,""))</f>
        <v>55000</v>
      </c>
      <c r="H119" s="9" t="n">
        <v>4</v>
      </c>
      <c r="I119" s="10" t="n">
        <v>25</v>
      </c>
      <c r="J119" s="11" t="s">
        <v>16</v>
      </c>
      <c r="K119" s="11" t="s">
        <v>8</v>
      </c>
    </row>
    <row r="120" customFormat="false" ht="15" hidden="false" customHeight="false" outlineLevel="0" collapsed="false">
      <c r="A120" s="6" t="s">
        <v>136</v>
      </c>
      <c r="B120" s="6" t="s">
        <v>144</v>
      </c>
      <c r="C120" s="7" t="n">
        <v>29.98</v>
      </c>
      <c r="D120" s="6"/>
      <c r="E120" s="6"/>
      <c r="F120" s="6" t="s">
        <v>20</v>
      </c>
      <c r="G120" s="8" t="n">
        <f aca="false">IF(ISNUMBER(D120),ROUND(D120*(1-$B$3)/100,0)*100,IF(ISNUMBER(C120),ROUND(C120*$B$4/100,0)*100,""))</f>
        <v>33000</v>
      </c>
      <c r="H120" s="9" t="n">
        <v>4.46</v>
      </c>
      <c r="I120" s="10" t="n">
        <v>1858</v>
      </c>
      <c r="J120" s="11" t="s">
        <v>16</v>
      </c>
      <c r="K120" s="11" t="s">
        <v>8</v>
      </c>
    </row>
    <row r="121" customFormat="false" ht="15" hidden="false" customHeight="false" outlineLevel="0" collapsed="false">
      <c r="A121" s="6" t="s">
        <v>136</v>
      </c>
      <c r="B121" s="6" t="s">
        <v>145</v>
      </c>
      <c r="C121" s="6" t="s">
        <v>38</v>
      </c>
      <c r="D121" s="6"/>
      <c r="E121" s="6"/>
      <c r="F121" s="6" t="s">
        <v>20</v>
      </c>
      <c r="G121" s="8" t="str">
        <f aca="false">IF(ISNUMBER(D121),ROUND(D121*(1-$B$3)/100,0)*100,IF(ISNUMBER(C121),ROUND(C121*$B$4/100,0)*100,""))</f>
        <v/>
      </c>
      <c r="H121" s="9" t="n">
        <v>4.68</v>
      </c>
      <c r="I121" s="10" t="n">
        <v>973</v>
      </c>
      <c r="J121" s="11" t="s">
        <v>16</v>
      </c>
      <c r="K121" s="11" t="s">
        <v>8</v>
      </c>
    </row>
    <row r="122" customFormat="false" ht="15" hidden="false" customHeight="false" outlineLevel="0" collapsed="false">
      <c r="A122" s="6" t="s">
        <v>136</v>
      </c>
      <c r="B122" s="6" t="s">
        <v>146</v>
      </c>
      <c r="C122" s="6" t="s">
        <v>38</v>
      </c>
      <c r="D122" s="6"/>
      <c r="E122" s="6"/>
      <c r="F122" s="6" t="s">
        <v>20</v>
      </c>
      <c r="G122" s="8" t="str">
        <f aca="false">IF(ISNUMBER(D122),ROUND(D122*(1-$B$3)/100,0)*100,IF(ISNUMBER(C122),ROUND(C122*$B$4/100,0)*100,""))</f>
        <v/>
      </c>
      <c r="H122" s="9" t="n">
        <v>4.51</v>
      </c>
      <c r="I122" s="10" t="n">
        <v>1683</v>
      </c>
      <c r="J122" s="11" t="s">
        <v>16</v>
      </c>
      <c r="K122" s="11" t="s">
        <v>8</v>
      </c>
    </row>
    <row r="123" customFormat="false" ht="15" hidden="false" customHeight="false" outlineLevel="0" collapsed="false">
      <c r="A123" s="6" t="s">
        <v>147</v>
      </c>
      <c r="B123" s="6" t="s">
        <v>148</v>
      </c>
      <c r="C123" s="7" t="n">
        <v>19.98</v>
      </c>
      <c r="D123" s="6"/>
      <c r="E123" s="6"/>
      <c r="F123" s="6" t="s">
        <v>20</v>
      </c>
      <c r="G123" s="8" t="n">
        <f aca="false">IF(ISNUMBER(D123),ROUND(D123*(1-$B$3)/100,0)*100,IF(ISNUMBER(C123),ROUND(C123*$B$4/100,0)*100,""))</f>
        <v>22000</v>
      </c>
      <c r="H123" s="9" t="n">
        <v>4.69</v>
      </c>
      <c r="I123" s="10" t="n">
        <v>13</v>
      </c>
      <c r="J123" s="11" t="s">
        <v>16</v>
      </c>
      <c r="K123" s="11" t="s">
        <v>8</v>
      </c>
    </row>
    <row r="124" customFormat="false" ht="15" hidden="false" customHeight="false" outlineLevel="0" collapsed="false">
      <c r="A124" s="6" t="s">
        <v>147</v>
      </c>
      <c r="B124" s="6" t="s">
        <v>149</v>
      </c>
      <c r="C124" s="7" t="n">
        <v>15.56</v>
      </c>
      <c r="D124" s="6"/>
      <c r="E124" s="6"/>
      <c r="F124" s="6" t="s">
        <v>20</v>
      </c>
      <c r="G124" s="8" t="n">
        <f aca="false">IF(ISNUMBER(D124),ROUND(D124*(1-$B$3)/100,0)*100,IF(ISNUMBER(C124),ROUND(C124*$B$4/100,0)*100,""))</f>
        <v>17100</v>
      </c>
      <c r="H124" s="9" t="n">
        <v>4.84</v>
      </c>
      <c r="I124" s="10" t="n">
        <v>185</v>
      </c>
      <c r="J124" s="11" t="s">
        <v>16</v>
      </c>
      <c r="K124" s="11" t="s">
        <v>8</v>
      </c>
    </row>
    <row r="125" customFormat="false" ht="15" hidden="false" customHeight="false" outlineLevel="0" collapsed="false">
      <c r="A125" s="6" t="s">
        <v>147</v>
      </c>
      <c r="B125" s="6" t="s">
        <v>150</v>
      </c>
      <c r="C125" s="7" t="n">
        <v>18.96</v>
      </c>
      <c r="D125" s="12" t="n">
        <v>12000</v>
      </c>
      <c r="E125" s="13" t="s">
        <v>24</v>
      </c>
      <c r="F125" s="14" t="s">
        <v>25</v>
      </c>
      <c r="G125" s="15" t="n">
        <f aca="false">IF(ISNUMBER(D125),ROUND(D125*(1-$B$3)/100,0)*100,IF(ISNUMBER(C125),ROUND(C125*$B$4/100,0)*100,""))</f>
        <v>11400</v>
      </c>
      <c r="H125" s="9" t="n">
        <v>4.37</v>
      </c>
      <c r="I125" s="10" t="n">
        <v>54</v>
      </c>
      <c r="J125" s="11" t="s">
        <v>16</v>
      </c>
      <c r="K125" s="11" t="s">
        <v>8</v>
      </c>
    </row>
    <row r="126" customFormat="false" ht="15" hidden="false" customHeight="false" outlineLevel="0" collapsed="false">
      <c r="A126" s="6" t="s">
        <v>147</v>
      </c>
      <c r="B126" s="6" t="s">
        <v>151</v>
      </c>
      <c r="C126" s="6" t="s">
        <v>38</v>
      </c>
      <c r="D126" s="12" t="n">
        <v>12000</v>
      </c>
      <c r="E126" s="13" t="s">
        <v>24</v>
      </c>
      <c r="F126" s="14" t="s">
        <v>25</v>
      </c>
      <c r="G126" s="15" t="n">
        <f aca="false">IF(ISNUMBER(D126),ROUND(D126*(1-$B$3)/100,0)*100,IF(ISNUMBER(C126),ROUND(C126*$B$4/100,0)*100,""))</f>
        <v>11400</v>
      </c>
      <c r="H126" s="9" t="n">
        <v>4.64</v>
      </c>
      <c r="I126" s="10" t="n">
        <v>228</v>
      </c>
      <c r="J126" s="11" t="s">
        <v>16</v>
      </c>
      <c r="K126" s="11" t="s">
        <v>8</v>
      </c>
    </row>
    <row r="127" customFormat="false" ht="15" hidden="false" customHeight="false" outlineLevel="0" collapsed="false">
      <c r="A127" s="6" t="s">
        <v>147</v>
      </c>
      <c r="B127" s="6" t="s">
        <v>152</v>
      </c>
      <c r="C127" s="7" t="n">
        <v>15.97</v>
      </c>
      <c r="D127" s="12" t="n">
        <v>15000</v>
      </c>
      <c r="E127" s="13" t="s">
        <v>24</v>
      </c>
      <c r="F127" s="14" t="s">
        <v>25</v>
      </c>
      <c r="G127" s="15" t="n">
        <f aca="false">IF(ISNUMBER(D127),ROUND(D127*(1-$B$3)/100,0)*100,IF(ISNUMBER(C127),ROUND(C127*$B$4/100,0)*100,""))</f>
        <v>14300</v>
      </c>
      <c r="H127" s="9" t="n">
        <v>4.5</v>
      </c>
      <c r="I127" s="10" t="n">
        <v>9217</v>
      </c>
      <c r="J127" s="11" t="s">
        <v>16</v>
      </c>
      <c r="K127" s="11" t="s">
        <v>8</v>
      </c>
    </row>
    <row r="128" customFormat="false" ht="15" hidden="false" customHeight="false" outlineLevel="0" collapsed="false">
      <c r="A128" s="6" t="s">
        <v>147</v>
      </c>
      <c r="B128" s="6" t="s">
        <v>153</v>
      </c>
      <c r="C128" s="7" t="n">
        <v>21.98</v>
      </c>
      <c r="D128" s="12" t="n">
        <v>15000</v>
      </c>
      <c r="E128" s="13" t="s">
        <v>24</v>
      </c>
      <c r="F128" s="14" t="s">
        <v>25</v>
      </c>
      <c r="G128" s="15" t="n">
        <f aca="false">IF(ISNUMBER(D128),ROUND(D128*(1-$B$3)/100,0)*100,IF(ISNUMBER(C128),ROUND(C128*$B$4/100,0)*100,""))</f>
        <v>14300</v>
      </c>
      <c r="H128" s="9" t="n">
        <v>4.48</v>
      </c>
      <c r="I128" s="10" t="n">
        <v>10233</v>
      </c>
      <c r="J128" s="11" t="s">
        <v>16</v>
      </c>
      <c r="K128" s="11" t="s">
        <v>8</v>
      </c>
    </row>
    <row r="129" customFormat="false" ht="15" hidden="false" customHeight="false" outlineLevel="0" collapsed="false">
      <c r="A129" s="6" t="s">
        <v>147</v>
      </c>
      <c r="B129" s="6" t="s">
        <v>154</v>
      </c>
      <c r="C129" s="7" t="n">
        <v>34.48</v>
      </c>
      <c r="D129" s="6"/>
      <c r="E129" s="11" t="s">
        <v>24</v>
      </c>
      <c r="F129" s="6" t="s">
        <v>25</v>
      </c>
      <c r="G129" s="8" t="n">
        <f aca="false">IF(ISNUMBER(D129),ROUND(D129*(1-$B$3)/100,0)*100,IF(ISNUMBER(C129),ROUND(C129*$B$4/100,0)*100,""))</f>
        <v>37900</v>
      </c>
      <c r="H129" s="9" t="n">
        <v>4.4</v>
      </c>
      <c r="I129" s="10" t="n">
        <v>277</v>
      </c>
      <c r="J129" s="11" t="s">
        <v>16</v>
      </c>
      <c r="K129" s="11" t="s">
        <v>8</v>
      </c>
    </row>
    <row r="130" customFormat="false" ht="15" hidden="false" customHeight="false" outlineLevel="0" collapsed="false">
      <c r="A130" s="6" t="s">
        <v>147</v>
      </c>
      <c r="B130" s="6" t="s">
        <v>155</v>
      </c>
      <c r="C130" s="7" t="n">
        <v>18.48</v>
      </c>
      <c r="D130" s="12" t="n">
        <v>5500</v>
      </c>
      <c r="E130" s="13" t="s">
        <v>24</v>
      </c>
      <c r="F130" s="14" t="s">
        <v>25</v>
      </c>
      <c r="G130" s="15" t="n">
        <f aca="false">IF(ISNUMBER(D130),ROUND(D130*(1-$B$3)/100,0)*100,IF(ISNUMBER(C130),ROUND(C130*$B$4/100,0)*100,""))</f>
        <v>5200</v>
      </c>
      <c r="H130" s="9" t="n">
        <v>4.91</v>
      </c>
      <c r="I130" s="10" t="n">
        <v>710</v>
      </c>
      <c r="J130" s="11" t="s">
        <v>16</v>
      </c>
      <c r="K130" s="11" t="s">
        <v>8</v>
      </c>
    </row>
    <row r="131" customFormat="false" ht="15" hidden="false" customHeight="false" outlineLevel="0" collapsed="false">
      <c r="A131" s="6" t="s">
        <v>147</v>
      </c>
      <c r="B131" s="6" t="s">
        <v>156</v>
      </c>
      <c r="C131" s="7" t="n">
        <v>15.98</v>
      </c>
      <c r="D131" s="12" t="n">
        <v>9000</v>
      </c>
      <c r="E131" s="13" t="s">
        <v>24</v>
      </c>
      <c r="F131" s="14" t="s">
        <v>25</v>
      </c>
      <c r="G131" s="15" t="n">
        <f aca="false">IF(ISNUMBER(D131),ROUND(D131*(1-$B$3)/100,0)*100,IF(ISNUMBER(C131),ROUND(C131*$B$4/100,0)*100,""))</f>
        <v>8600</v>
      </c>
      <c r="H131" s="9" t="n">
        <v>4.44</v>
      </c>
      <c r="I131" s="10" t="n">
        <v>1725</v>
      </c>
      <c r="J131" s="11" t="s">
        <v>16</v>
      </c>
      <c r="K131" s="11" t="s">
        <v>8</v>
      </c>
    </row>
    <row r="132" customFormat="false" ht="15" hidden="false" customHeight="false" outlineLevel="0" collapsed="false">
      <c r="A132" s="6" t="s">
        <v>147</v>
      </c>
      <c r="B132" s="6" t="s">
        <v>157</v>
      </c>
      <c r="C132" s="7" t="n">
        <v>15.46</v>
      </c>
      <c r="D132" s="12" t="n">
        <v>14500</v>
      </c>
      <c r="E132" s="13" t="s">
        <v>24</v>
      </c>
      <c r="F132" s="14" t="s">
        <v>25</v>
      </c>
      <c r="G132" s="15" t="n">
        <f aca="false">IF(ISNUMBER(D132),ROUND(D132*(1-$B$3)/100,0)*100,IF(ISNUMBER(C132),ROUND(C132*$B$4/100,0)*100,""))</f>
        <v>13800</v>
      </c>
      <c r="H132" s="9" t="n">
        <v>4.6</v>
      </c>
      <c r="I132" s="10" t="n">
        <v>2767</v>
      </c>
      <c r="J132" s="11" t="s">
        <v>16</v>
      </c>
      <c r="K132" s="11" t="s">
        <v>8</v>
      </c>
    </row>
    <row r="133" customFormat="false" ht="15" hidden="false" customHeight="false" outlineLevel="0" collapsed="false">
      <c r="A133" s="6" t="s">
        <v>147</v>
      </c>
      <c r="B133" s="6" t="s">
        <v>158</v>
      </c>
      <c r="C133" s="7" t="n">
        <v>24.48</v>
      </c>
      <c r="D133" s="6"/>
      <c r="E133" s="6"/>
      <c r="F133" s="6" t="s">
        <v>20</v>
      </c>
      <c r="G133" s="8" t="n">
        <f aca="false">IF(ISNUMBER(D133),ROUND(D133*(1-$B$3)/100,0)*100,IF(ISNUMBER(C133),ROUND(C133*$B$4/100,0)*100,""))</f>
        <v>26900</v>
      </c>
      <c r="H133" s="9" t="n">
        <v>4.3</v>
      </c>
      <c r="I133" s="10" t="n">
        <v>214</v>
      </c>
      <c r="J133" s="11" t="s">
        <v>16</v>
      </c>
      <c r="K133" s="11" t="s">
        <v>8</v>
      </c>
    </row>
    <row r="134" customFormat="false" ht="15" hidden="false" customHeight="false" outlineLevel="0" collapsed="false">
      <c r="A134" s="6" t="s">
        <v>147</v>
      </c>
      <c r="B134" s="6" t="s">
        <v>159</v>
      </c>
      <c r="C134" s="7" t="n">
        <v>12.98</v>
      </c>
      <c r="D134" s="6"/>
      <c r="E134" s="6"/>
      <c r="F134" s="6" t="s">
        <v>20</v>
      </c>
      <c r="G134" s="8" t="n">
        <f aca="false">IF(ISNUMBER(D134),ROUND(D134*(1-$B$3)/100,0)*100,IF(ISNUMBER(C134),ROUND(C134*$B$4/100,0)*100,""))</f>
        <v>14300</v>
      </c>
      <c r="H134" s="9" t="n">
        <v>4.66</v>
      </c>
      <c r="I134" s="10" t="n">
        <v>164</v>
      </c>
      <c r="J134" s="11" t="s">
        <v>16</v>
      </c>
      <c r="K134" s="11" t="s">
        <v>8</v>
      </c>
    </row>
    <row r="135" customFormat="false" ht="15" hidden="false" customHeight="false" outlineLevel="0" collapsed="false">
      <c r="A135" s="6" t="s">
        <v>147</v>
      </c>
      <c r="B135" s="6" t="s">
        <v>160</v>
      </c>
      <c r="C135" s="7" t="n">
        <v>59.98</v>
      </c>
      <c r="D135" s="6"/>
      <c r="E135" s="6"/>
      <c r="F135" s="6" t="s">
        <v>20</v>
      </c>
      <c r="G135" s="8" t="n">
        <f aca="false">IF(ISNUMBER(D135),ROUND(D135*(1-$B$3)/100,0)*100,IF(ISNUMBER(C135),ROUND(C135*$B$4/100,0)*100,""))</f>
        <v>66000</v>
      </c>
      <c r="H135" s="9" t="n">
        <v>4.4</v>
      </c>
      <c r="I135" s="10" t="n">
        <v>15</v>
      </c>
      <c r="J135" s="11" t="s">
        <v>16</v>
      </c>
      <c r="K135" s="11" t="s">
        <v>8</v>
      </c>
    </row>
    <row r="136" customFormat="false" ht="15" hidden="false" customHeight="false" outlineLevel="0" collapsed="false">
      <c r="A136" s="6" t="s">
        <v>147</v>
      </c>
      <c r="B136" s="6" t="s">
        <v>161</v>
      </c>
      <c r="C136" s="7" t="n">
        <v>17.98</v>
      </c>
      <c r="D136" s="12" t="n">
        <v>12000</v>
      </c>
      <c r="E136" s="13" t="s">
        <v>24</v>
      </c>
      <c r="F136" s="14" t="s">
        <v>108</v>
      </c>
      <c r="G136" s="15" t="n">
        <f aca="false">IF(ISNUMBER(D136),ROUND(D136*(1-$B$3)/100,0)*100,IF(ISNUMBER(C136),ROUND(C136*$B$4/100,0)*100,""))</f>
        <v>11400</v>
      </c>
      <c r="H136" s="9" t="n">
        <v>4.76</v>
      </c>
      <c r="I136" s="10" t="n">
        <v>38</v>
      </c>
      <c r="J136" s="11" t="s">
        <v>16</v>
      </c>
      <c r="K136" s="11" t="s">
        <v>8</v>
      </c>
    </row>
    <row r="137" customFormat="false" ht="15" hidden="false" customHeight="false" outlineLevel="0" collapsed="false">
      <c r="A137" s="6" t="s">
        <v>147</v>
      </c>
      <c r="B137" s="6" t="s">
        <v>162</v>
      </c>
      <c r="C137" s="7" t="n">
        <v>18.96</v>
      </c>
      <c r="D137" s="6"/>
      <c r="E137" s="6"/>
      <c r="F137" s="6" t="s">
        <v>20</v>
      </c>
      <c r="G137" s="8" t="n">
        <f aca="false">IF(ISNUMBER(D137),ROUND(D137*(1-$B$3)/100,0)*100,IF(ISNUMBER(C137),ROUND(C137*$B$4/100,0)*100,""))</f>
        <v>20900</v>
      </c>
      <c r="H137" s="6"/>
      <c r="I137" s="6"/>
      <c r="J137" s="11" t="s">
        <v>16</v>
      </c>
      <c r="K137" s="11" t="s">
        <v>8</v>
      </c>
    </row>
    <row r="138" customFormat="false" ht="15" hidden="false" customHeight="false" outlineLevel="0" collapsed="false">
      <c r="A138" s="6" t="s">
        <v>147</v>
      </c>
      <c r="B138" s="6" t="s">
        <v>163</v>
      </c>
      <c r="C138" s="7" t="n">
        <v>12.98</v>
      </c>
      <c r="D138" s="6"/>
      <c r="E138" s="6"/>
      <c r="F138" s="6" t="s">
        <v>20</v>
      </c>
      <c r="G138" s="8" t="n">
        <f aca="false">IF(ISNUMBER(D138),ROUND(D138*(1-$B$3)/100,0)*100,IF(ISNUMBER(C138),ROUND(C138*$B$4/100,0)*100,""))</f>
        <v>14300</v>
      </c>
      <c r="H138" s="9" t="n">
        <v>4.6</v>
      </c>
      <c r="I138" s="10" t="n">
        <v>74</v>
      </c>
      <c r="J138" s="11" t="s">
        <v>16</v>
      </c>
      <c r="K138" s="11" t="s">
        <v>8</v>
      </c>
    </row>
    <row r="139" customFormat="false" ht="15" hidden="false" customHeight="false" outlineLevel="0" collapsed="false">
      <c r="A139" s="6" t="s">
        <v>147</v>
      </c>
      <c r="B139" s="6" t="s">
        <v>164</v>
      </c>
      <c r="C139" s="7" t="n">
        <v>14.98</v>
      </c>
      <c r="D139" s="6"/>
      <c r="E139" s="6"/>
      <c r="F139" s="6" t="s">
        <v>20</v>
      </c>
      <c r="G139" s="8" t="n">
        <f aca="false">IF(ISNUMBER(D139),ROUND(D139*(1-$B$3)/100,0)*100,IF(ISNUMBER(C139),ROUND(C139*$B$4/100,0)*100,""))</f>
        <v>16500</v>
      </c>
      <c r="H139" s="9" t="n">
        <v>4.5</v>
      </c>
      <c r="I139" s="10" t="n">
        <v>4</v>
      </c>
      <c r="J139" s="11" t="s">
        <v>16</v>
      </c>
      <c r="K139" s="11" t="s">
        <v>8</v>
      </c>
    </row>
    <row r="140" customFormat="false" ht="15" hidden="false" customHeight="false" outlineLevel="0" collapsed="false">
      <c r="A140" s="6" t="s">
        <v>147</v>
      </c>
      <c r="B140" s="6" t="s">
        <v>165</v>
      </c>
      <c r="C140" s="7" t="n">
        <v>16.98</v>
      </c>
      <c r="D140" s="6"/>
      <c r="E140" s="6"/>
      <c r="F140" s="6" t="s">
        <v>20</v>
      </c>
      <c r="G140" s="8" t="n">
        <f aca="false">IF(ISNUMBER(D140),ROUND(D140*(1-$B$3)/100,0)*100,IF(ISNUMBER(C140),ROUND(C140*$B$4/100,0)*100,""))</f>
        <v>18700</v>
      </c>
      <c r="H140" s="9" t="n">
        <v>5</v>
      </c>
      <c r="I140" s="10" t="n">
        <v>2</v>
      </c>
      <c r="J140" s="11" t="s">
        <v>16</v>
      </c>
      <c r="K140" s="11" t="s">
        <v>8</v>
      </c>
    </row>
    <row r="141" customFormat="false" ht="15" hidden="false" customHeight="false" outlineLevel="0" collapsed="false">
      <c r="A141" s="6" t="s">
        <v>147</v>
      </c>
      <c r="B141" s="6" t="s">
        <v>166</v>
      </c>
      <c r="C141" s="7" t="n">
        <v>29.98</v>
      </c>
      <c r="D141" s="12" t="n">
        <v>16000</v>
      </c>
      <c r="E141" s="13" t="s">
        <v>24</v>
      </c>
      <c r="F141" s="14" t="s">
        <v>25</v>
      </c>
      <c r="G141" s="15" t="n">
        <f aca="false">IF(ISNUMBER(D141),ROUND(D141*(1-$B$3)/100,0)*100,IF(ISNUMBER(C141),ROUND(C141*$B$4/100,0)*100,""))</f>
        <v>15200</v>
      </c>
      <c r="H141" s="9" t="n">
        <v>4.59</v>
      </c>
      <c r="I141" s="10" t="n">
        <v>2157</v>
      </c>
      <c r="J141" s="11" t="s">
        <v>16</v>
      </c>
      <c r="K141" s="11" t="s">
        <v>8</v>
      </c>
    </row>
    <row r="142" customFormat="false" ht="15" hidden="false" customHeight="false" outlineLevel="0" collapsed="false">
      <c r="A142" s="6" t="s">
        <v>147</v>
      </c>
      <c r="B142" s="6" t="s">
        <v>167</v>
      </c>
      <c r="C142" s="7" t="n">
        <v>44.48</v>
      </c>
      <c r="D142" s="12" t="n">
        <v>10250</v>
      </c>
      <c r="E142" s="13" t="s">
        <v>24</v>
      </c>
      <c r="F142" s="14" t="s">
        <v>25</v>
      </c>
      <c r="G142" s="15" t="n">
        <f aca="false">IF(ISNUMBER(D142),ROUND(D142*(1-$B$3)/100,0)*100,IF(ISNUMBER(C142),ROUND(C142*$B$4/100,0)*100,""))</f>
        <v>9700</v>
      </c>
      <c r="H142" s="9" t="n">
        <v>4.7</v>
      </c>
      <c r="I142" s="10" t="n">
        <v>4646</v>
      </c>
      <c r="J142" s="11" t="s">
        <v>16</v>
      </c>
      <c r="K142" s="11" t="s">
        <v>8</v>
      </c>
    </row>
    <row r="143" customFormat="false" ht="15" hidden="false" customHeight="false" outlineLevel="0" collapsed="false">
      <c r="A143" s="6" t="s">
        <v>147</v>
      </c>
      <c r="B143" s="6" t="s">
        <v>168</v>
      </c>
      <c r="C143" s="6" t="s">
        <v>38</v>
      </c>
      <c r="D143" s="12" t="n">
        <v>6000</v>
      </c>
      <c r="E143" s="13" t="s">
        <v>24</v>
      </c>
      <c r="F143" s="14" t="s">
        <v>25</v>
      </c>
      <c r="G143" s="15" t="n">
        <f aca="false">IF(ISNUMBER(D143),ROUND(D143*(1-$B$3)/100,0)*100,IF(ISNUMBER(C143),ROUND(C143*$B$4/100,0)*100,""))</f>
        <v>5700</v>
      </c>
      <c r="H143" s="9" t="n">
        <v>4.5</v>
      </c>
      <c r="I143" s="10" t="n">
        <v>44</v>
      </c>
      <c r="J143" s="11" t="s">
        <v>16</v>
      </c>
      <c r="K143" s="11" t="s">
        <v>8</v>
      </c>
    </row>
    <row r="144" customFormat="false" ht="15" hidden="false" customHeight="false" outlineLevel="0" collapsed="false">
      <c r="A144" s="6" t="s">
        <v>147</v>
      </c>
      <c r="B144" s="6" t="s">
        <v>169</v>
      </c>
      <c r="C144" s="7" t="n">
        <v>15.98</v>
      </c>
      <c r="D144" s="12" t="n">
        <v>4900</v>
      </c>
      <c r="E144" s="13" t="s">
        <v>24</v>
      </c>
      <c r="F144" s="14" t="s">
        <v>25</v>
      </c>
      <c r="G144" s="15" t="n">
        <f aca="false">IF(ISNUMBER(D144),ROUND(D144*(1-$B$3)/100,0)*100,IF(ISNUMBER(C144),ROUND(C144*$B$4/100,0)*100,""))</f>
        <v>4700</v>
      </c>
      <c r="H144" s="9" t="n">
        <v>4.52</v>
      </c>
      <c r="I144" s="10" t="n">
        <v>4768</v>
      </c>
      <c r="J144" s="11" t="s">
        <v>16</v>
      </c>
      <c r="K144" s="11" t="s">
        <v>8</v>
      </c>
    </row>
    <row r="145" customFormat="false" ht="15" hidden="false" customHeight="false" outlineLevel="0" collapsed="false">
      <c r="A145" s="6" t="s">
        <v>147</v>
      </c>
      <c r="B145" s="6" t="s">
        <v>170</v>
      </c>
      <c r="C145" s="7" t="n">
        <v>14.38</v>
      </c>
      <c r="D145" s="12" t="n">
        <v>5500</v>
      </c>
      <c r="E145" s="13" t="s">
        <v>24</v>
      </c>
      <c r="F145" s="14" t="s">
        <v>25</v>
      </c>
      <c r="G145" s="15" t="n">
        <f aca="false">IF(ISNUMBER(D145),ROUND(D145*(1-$B$3)/100,0)*100,IF(ISNUMBER(C145),ROUND(C145*$B$4/100,0)*100,""))</f>
        <v>5200</v>
      </c>
      <c r="H145" s="9" t="n">
        <v>4.16</v>
      </c>
      <c r="I145" s="10" t="n">
        <v>6699</v>
      </c>
      <c r="J145" s="11" t="s">
        <v>16</v>
      </c>
      <c r="K145" s="11" t="s">
        <v>8</v>
      </c>
    </row>
    <row r="146" customFormat="false" ht="15" hidden="false" customHeight="false" outlineLevel="0" collapsed="false">
      <c r="A146" s="6" t="s">
        <v>147</v>
      </c>
      <c r="B146" s="6" t="s">
        <v>171</v>
      </c>
      <c r="C146" s="7" t="n">
        <v>13.98</v>
      </c>
      <c r="D146" s="6"/>
      <c r="E146" s="6"/>
      <c r="F146" s="6" t="s">
        <v>20</v>
      </c>
      <c r="G146" s="8" t="n">
        <f aca="false">IF(ISNUMBER(D146),ROUND(D146*(1-$B$3)/100,0)*100,IF(ISNUMBER(C146),ROUND(C146*$B$4/100,0)*100,""))</f>
        <v>15400</v>
      </c>
      <c r="H146" s="9" t="n">
        <v>4.35</v>
      </c>
      <c r="I146" s="10" t="n">
        <v>397</v>
      </c>
      <c r="J146" s="11" t="s">
        <v>16</v>
      </c>
      <c r="K146" s="11" t="s">
        <v>8</v>
      </c>
    </row>
    <row r="147" customFormat="false" ht="15" hidden="false" customHeight="false" outlineLevel="0" collapsed="false">
      <c r="A147" s="6" t="s">
        <v>147</v>
      </c>
      <c r="B147" s="6" t="s">
        <v>172</v>
      </c>
      <c r="C147" s="7" t="n">
        <v>35.98</v>
      </c>
      <c r="D147" s="6"/>
      <c r="E147" s="6"/>
      <c r="F147" s="6" t="s">
        <v>20</v>
      </c>
      <c r="G147" s="8" t="n">
        <f aca="false">IF(ISNUMBER(D147),ROUND(D147*(1-$B$3)/100,0)*100,IF(ISNUMBER(C147),ROUND(C147*$B$4/100,0)*100,""))</f>
        <v>39600</v>
      </c>
      <c r="H147" s="6"/>
      <c r="I147" s="6"/>
      <c r="J147" s="11" t="s">
        <v>16</v>
      </c>
      <c r="K147" s="11" t="s">
        <v>8</v>
      </c>
    </row>
    <row r="148" customFormat="false" ht="15" hidden="false" customHeight="false" outlineLevel="0" collapsed="false">
      <c r="A148" s="6" t="s">
        <v>147</v>
      </c>
      <c r="B148" s="6" t="s">
        <v>173</v>
      </c>
      <c r="C148" s="7" t="n">
        <v>39.98</v>
      </c>
      <c r="D148" s="6"/>
      <c r="E148" s="6"/>
      <c r="F148" s="6" t="s">
        <v>20</v>
      </c>
      <c r="G148" s="8" t="n">
        <f aca="false">IF(ISNUMBER(D148),ROUND(D148*(1-$B$3)/100,0)*100,IF(ISNUMBER(C148),ROUND(C148*$B$4/100,0)*100,""))</f>
        <v>44000</v>
      </c>
      <c r="H148" s="9" t="n">
        <v>5</v>
      </c>
      <c r="I148" s="10" t="n">
        <v>1</v>
      </c>
      <c r="J148" s="11" t="s">
        <v>16</v>
      </c>
      <c r="K148" s="11" t="s">
        <v>8</v>
      </c>
    </row>
    <row r="149" customFormat="false" ht="15" hidden="false" customHeight="false" outlineLevel="0" collapsed="false">
      <c r="A149" s="6" t="s">
        <v>147</v>
      </c>
      <c r="B149" s="6" t="s">
        <v>174</v>
      </c>
      <c r="C149" s="7" t="n">
        <v>39.98</v>
      </c>
      <c r="D149" s="6"/>
      <c r="E149" s="6"/>
      <c r="F149" s="6" t="s">
        <v>20</v>
      </c>
      <c r="G149" s="8" t="n">
        <f aca="false">IF(ISNUMBER(D149),ROUND(D149*(1-$B$3)/100,0)*100,IF(ISNUMBER(C149),ROUND(C149*$B$4/100,0)*100,""))</f>
        <v>44000</v>
      </c>
      <c r="H149" s="9" t="n">
        <v>5</v>
      </c>
      <c r="I149" s="10" t="n">
        <v>1</v>
      </c>
      <c r="J149" s="11" t="s">
        <v>16</v>
      </c>
      <c r="K149" s="11" t="s">
        <v>8</v>
      </c>
    </row>
    <row r="150" customFormat="false" ht="15" hidden="false" customHeight="false" outlineLevel="0" collapsed="false">
      <c r="A150" s="6" t="s">
        <v>147</v>
      </c>
      <c r="B150" s="6" t="s">
        <v>175</v>
      </c>
      <c r="C150" s="7" t="n">
        <v>89.98</v>
      </c>
      <c r="D150" s="6"/>
      <c r="E150" s="6"/>
      <c r="F150" s="6" t="s">
        <v>20</v>
      </c>
      <c r="G150" s="8" t="n">
        <f aca="false">IF(ISNUMBER(D150),ROUND(D150*(1-$B$3)/100,0)*100,IF(ISNUMBER(C150),ROUND(C150*$B$4/100,0)*100,""))</f>
        <v>99000</v>
      </c>
      <c r="H150" s="6"/>
      <c r="I150" s="6"/>
      <c r="J150" s="11" t="s">
        <v>16</v>
      </c>
      <c r="K150" s="11" t="s">
        <v>8</v>
      </c>
    </row>
    <row r="151" customFormat="false" ht="15" hidden="false" customHeight="false" outlineLevel="0" collapsed="false">
      <c r="A151" s="6" t="s">
        <v>147</v>
      </c>
      <c r="B151" s="6" t="s">
        <v>176</v>
      </c>
      <c r="C151" s="7" t="n">
        <v>29.98</v>
      </c>
      <c r="D151" s="6"/>
      <c r="E151" s="6"/>
      <c r="F151" s="6" t="s">
        <v>20</v>
      </c>
      <c r="G151" s="8" t="n">
        <f aca="false">IF(ISNUMBER(D151),ROUND(D151*(1-$B$3)/100,0)*100,IF(ISNUMBER(C151),ROUND(C151*$B$4/100,0)*100,""))</f>
        <v>33000</v>
      </c>
      <c r="H151" s="9" t="n">
        <v>4.2</v>
      </c>
      <c r="I151" s="10" t="n">
        <v>69</v>
      </c>
      <c r="J151" s="11" t="s">
        <v>16</v>
      </c>
      <c r="K151" s="11" t="s">
        <v>8</v>
      </c>
    </row>
    <row r="152" customFormat="false" ht="15" hidden="false" customHeight="false" outlineLevel="0" collapsed="false">
      <c r="A152" s="6" t="s">
        <v>147</v>
      </c>
      <c r="B152" s="6" t="s">
        <v>177</v>
      </c>
      <c r="C152" s="7" t="n">
        <v>19.98</v>
      </c>
      <c r="D152" s="12" t="n">
        <v>17000</v>
      </c>
      <c r="E152" s="13" t="s">
        <v>24</v>
      </c>
      <c r="F152" s="14" t="s">
        <v>25</v>
      </c>
      <c r="G152" s="15" t="n">
        <f aca="false">IF(ISNUMBER(D152),ROUND(D152*(1-$B$3)/100,0)*100,IF(ISNUMBER(C152),ROUND(C152*$B$4/100,0)*100,""))</f>
        <v>16200</v>
      </c>
      <c r="H152" s="9" t="n">
        <v>4.65</v>
      </c>
      <c r="I152" s="10" t="n">
        <v>2740</v>
      </c>
      <c r="J152" s="11" t="s">
        <v>16</v>
      </c>
      <c r="K152" s="11" t="s">
        <v>8</v>
      </c>
    </row>
    <row r="153" customFormat="false" ht="15" hidden="false" customHeight="false" outlineLevel="0" collapsed="false">
      <c r="A153" s="6" t="s">
        <v>147</v>
      </c>
      <c r="B153" s="6" t="s">
        <v>178</v>
      </c>
      <c r="C153" s="7" t="n">
        <v>46.49</v>
      </c>
      <c r="D153" s="12" t="n">
        <v>16000</v>
      </c>
      <c r="E153" s="13" t="s">
        <v>24</v>
      </c>
      <c r="F153" s="14" t="s">
        <v>25</v>
      </c>
      <c r="G153" s="15" t="n">
        <f aca="false">IF(ISNUMBER(D153),ROUND(D153*(1-$B$3)/100,0)*100,IF(ISNUMBER(C153),ROUND(C153*$B$4/100,0)*100,""))</f>
        <v>15200</v>
      </c>
      <c r="H153" s="9" t="n">
        <v>4.3</v>
      </c>
      <c r="I153" s="10" t="n">
        <v>105</v>
      </c>
      <c r="J153" s="11" t="s">
        <v>16</v>
      </c>
      <c r="K153" s="11" t="s">
        <v>8</v>
      </c>
    </row>
    <row r="154" customFormat="false" ht="15" hidden="false" customHeight="false" outlineLevel="0" collapsed="false">
      <c r="A154" s="6" t="s">
        <v>147</v>
      </c>
      <c r="B154" s="6" t="s">
        <v>179</v>
      </c>
      <c r="C154" s="7" t="n">
        <v>14.84</v>
      </c>
      <c r="D154" s="6"/>
      <c r="E154" s="6"/>
      <c r="F154" s="6" t="s">
        <v>20</v>
      </c>
      <c r="G154" s="8" t="n">
        <f aca="false">IF(ISNUMBER(D154),ROUND(D154*(1-$B$3)/100,0)*100,IF(ISNUMBER(C154),ROUND(C154*$B$4/100,0)*100,""))</f>
        <v>16300</v>
      </c>
      <c r="H154" s="9" t="n">
        <v>4.8</v>
      </c>
      <c r="I154" s="10" t="n">
        <v>69</v>
      </c>
      <c r="J154" s="11" t="s">
        <v>16</v>
      </c>
      <c r="K154" s="11" t="s">
        <v>8</v>
      </c>
    </row>
    <row r="155" customFormat="false" ht="15" hidden="false" customHeight="false" outlineLevel="0" collapsed="false">
      <c r="A155" s="6" t="s">
        <v>147</v>
      </c>
      <c r="B155" s="6" t="s">
        <v>180</v>
      </c>
      <c r="C155" s="7" t="n">
        <v>46.49</v>
      </c>
      <c r="D155" s="12" t="n">
        <v>25200</v>
      </c>
      <c r="E155" s="13" t="s">
        <v>24</v>
      </c>
      <c r="F155" s="14" t="s">
        <v>25</v>
      </c>
      <c r="G155" s="15" t="n">
        <f aca="false">IF(ISNUMBER(D155),ROUND(D155*(1-$B$3)/100,0)*100,IF(ISNUMBER(C155),ROUND(C155*$B$4/100,0)*100,""))</f>
        <v>23900</v>
      </c>
      <c r="H155" s="9" t="n">
        <v>5</v>
      </c>
      <c r="I155" s="10" t="n">
        <v>1</v>
      </c>
      <c r="J155" s="11" t="s">
        <v>16</v>
      </c>
      <c r="K155" s="11" t="s">
        <v>8</v>
      </c>
    </row>
    <row r="156" customFormat="false" ht="15" hidden="false" customHeight="false" outlineLevel="0" collapsed="false">
      <c r="A156" s="6" t="s">
        <v>147</v>
      </c>
      <c r="B156" s="6" t="s">
        <v>181</v>
      </c>
      <c r="C156" s="7" t="n">
        <v>44.98</v>
      </c>
      <c r="D156" s="6"/>
      <c r="E156" s="6"/>
      <c r="F156" s="6" t="s">
        <v>20</v>
      </c>
      <c r="G156" s="8" t="n">
        <f aca="false">IF(ISNUMBER(D156),ROUND(D156*(1-$B$3)/100,0)*100,IF(ISNUMBER(C156),ROUND(C156*$B$4/100,0)*100,""))</f>
        <v>49500</v>
      </c>
      <c r="H156" s="9" t="n">
        <v>4.72</v>
      </c>
      <c r="I156" s="10" t="n">
        <v>1124</v>
      </c>
      <c r="J156" s="11" t="s">
        <v>16</v>
      </c>
      <c r="K156" s="11" t="s">
        <v>8</v>
      </c>
    </row>
    <row r="157" customFormat="false" ht="15" hidden="false" customHeight="false" outlineLevel="0" collapsed="false">
      <c r="A157" s="6" t="s">
        <v>147</v>
      </c>
      <c r="B157" s="6" t="s">
        <v>182</v>
      </c>
      <c r="C157" s="7" t="n">
        <v>44.97</v>
      </c>
      <c r="D157" s="6"/>
      <c r="E157" s="6"/>
      <c r="F157" s="6" t="s">
        <v>20</v>
      </c>
      <c r="G157" s="8" t="n">
        <f aca="false">IF(ISNUMBER(D157),ROUND(D157*(1-$B$3)/100,0)*100,IF(ISNUMBER(C157),ROUND(C157*$B$4/100,0)*100,""))</f>
        <v>49500</v>
      </c>
      <c r="H157" s="9" t="n">
        <v>4.6</v>
      </c>
      <c r="I157" s="10" t="n">
        <v>892</v>
      </c>
      <c r="J157" s="11" t="s">
        <v>16</v>
      </c>
      <c r="K157" s="11" t="s">
        <v>8</v>
      </c>
    </row>
    <row r="158" customFormat="false" ht="15" hidden="false" customHeight="false" outlineLevel="0" collapsed="false">
      <c r="A158" s="6" t="s">
        <v>147</v>
      </c>
      <c r="B158" s="6" t="s">
        <v>183</v>
      </c>
      <c r="C158" s="7" t="n">
        <v>34.98</v>
      </c>
      <c r="D158" s="6"/>
      <c r="E158" s="6"/>
      <c r="F158" s="6" t="s">
        <v>20</v>
      </c>
      <c r="G158" s="8" t="n">
        <f aca="false">IF(ISNUMBER(D158),ROUND(D158*(1-$B$3)/100,0)*100,IF(ISNUMBER(C158),ROUND(C158*$B$4/100,0)*100,""))</f>
        <v>38500</v>
      </c>
      <c r="H158" s="9" t="n">
        <v>3.9</v>
      </c>
      <c r="I158" s="10" t="n">
        <v>28</v>
      </c>
      <c r="J158" s="11" t="s">
        <v>16</v>
      </c>
      <c r="K158" s="11" t="s">
        <v>8</v>
      </c>
    </row>
    <row r="159" customFormat="false" ht="15" hidden="false" customHeight="false" outlineLevel="0" collapsed="false">
      <c r="A159" s="6" t="s">
        <v>147</v>
      </c>
      <c r="B159" s="6" t="s">
        <v>184</v>
      </c>
      <c r="C159" s="7" t="n">
        <v>39.98</v>
      </c>
      <c r="D159" s="12" t="n">
        <v>32000</v>
      </c>
      <c r="E159" s="13" t="s">
        <v>24</v>
      </c>
      <c r="F159" s="14" t="s">
        <v>25</v>
      </c>
      <c r="G159" s="15" t="n">
        <f aca="false">IF(ISNUMBER(D159),ROUND(D159*(1-$B$3)/100,0)*100,IF(ISNUMBER(C159),ROUND(C159*$B$4/100,0)*100,""))</f>
        <v>30400</v>
      </c>
      <c r="H159" s="9" t="n">
        <v>4.5</v>
      </c>
      <c r="I159" s="10" t="n">
        <v>112</v>
      </c>
      <c r="J159" s="11" t="s">
        <v>16</v>
      </c>
      <c r="K159" s="11" t="s">
        <v>8</v>
      </c>
    </row>
    <row r="160" customFormat="false" ht="15" hidden="false" customHeight="false" outlineLevel="0" collapsed="false">
      <c r="A160" s="6" t="s">
        <v>147</v>
      </c>
      <c r="B160" s="6" t="s">
        <v>185</v>
      </c>
      <c r="C160" s="7" t="n">
        <v>25.88</v>
      </c>
      <c r="D160" s="6"/>
      <c r="E160" s="6"/>
      <c r="F160" s="6" t="s">
        <v>20</v>
      </c>
      <c r="G160" s="8" t="n">
        <f aca="false">IF(ISNUMBER(D160),ROUND(D160*(1-$B$3)/100,0)*100,IF(ISNUMBER(C160),ROUND(C160*$B$4/100,0)*100,""))</f>
        <v>28500</v>
      </c>
      <c r="H160" s="9" t="n">
        <v>4.7</v>
      </c>
      <c r="I160" s="10" t="n">
        <v>860</v>
      </c>
      <c r="J160" s="11" t="s">
        <v>16</v>
      </c>
      <c r="K160" s="11" t="s">
        <v>8</v>
      </c>
    </row>
    <row r="161" customFormat="false" ht="15" hidden="false" customHeight="false" outlineLevel="0" collapsed="false">
      <c r="A161" s="6" t="s">
        <v>147</v>
      </c>
      <c r="B161" s="6" t="s">
        <v>186</v>
      </c>
      <c r="C161" s="7" t="n">
        <v>39.98</v>
      </c>
      <c r="D161" s="6"/>
      <c r="E161" s="6"/>
      <c r="F161" s="6" t="s">
        <v>20</v>
      </c>
      <c r="G161" s="8" t="n">
        <f aca="false">IF(ISNUMBER(D161),ROUND(D161*(1-$B$3)/100,0)*100,IF(ISNUMBER(C161),ROUND(C161*$B$4/100,0)*100,""))</f>
        <v>44000</v>
      </c>
      <c r="H161" s="9" t="n">
        <v>4.7</v>
      </c>
      <c r="I161" s="10" t="n">
        <v>5200</v>
      </c>
      <c r="J161" s="11" t="s">
        <v>16</v>
      </c>
      <c r="K161" s="11" t="s">
        <v>8</v>
      </c>
    </row>
    <row r="162" customFormat="false" ht="15" hidden="false" customHeight="false" outlineLevel="0" collapsed="false">
      <c r="A162" s="6" t="s">
        <v>147</v>
      </c>
      <c r="B162" s="6" t="s">
        <v>187</v>
      </c>
      <c r="C162" s="7" t="n">
        <v>39.98</v>
      </c>
      <c r="D162" s="12" t="n">
        <v>25200</v>
      </c>
      <c r="E162" s="13" t="s">
        <v>24</v>
      </c>
      <c r="F162" s="14" t="s">
        <v>25</v>
      </c>
      <c r="G162" s="15" t="n">
        <f aca="false">IF(ISNUMBER(D162),ROUND(D162*(1-$B$3)/100,0)*100,IF(ISNUMBER(C162),ROUND(C162*$B$4/100,0)*100,""))</f>
        <v>23900</v>
      </c>
      <c r="H162" s="9" t="n">
        <v>4.68</v>
      </c>
      <c r="I162" s="10" t="n">
        <v>1147</v>
      </c>
      <c r="J162" s="11" t="s">
        <v>16</v>
      </c>
      <c r="K162" s="11" t="s">
        <v>8</v>
      </c>
    </row>
    <row r="163" customFormat="false" ht="15" hidden="false" customHeight="false" outlineLevel="0" collapsed="false">
      <c r="A163" s="6" t="s">
        <v>147</v>
      </c>
      <c r="B163" s="6" t="s">
        <v>188</v>
      </c>
      <c r="C163" s="7" t="n">
        <v>17.49</v>
      </c>
      <c r="D163" s="12" t="n">
        <v>11500</v>
      </c>
      <c r="E163" s="13" t="s">
        <v>24</v>
      </c>
      <c r="F163" s="14" t="s">
        <v>25</v>
      </c>
      <c r="G163" s="15" t="n">
        <f aca="false">IF(ISNUMBER(D163),ROUND(D163*(1-$B$3)/100,0)*100,IF(ISNUMBER(C163),ROUND(C163*$B$4/100,0)*100,""))</f>
        <v>10900</v>
      </c>
      <c r="H163" s="9" t="n">
        <v>4.67</v>
      </c>
      <c r="I163" s="10" t="n">
        <v>537</v>
      </c>
      <c r="J163" s="11" t="s">
        <v>16</v>
      </c>
      <c r="K163" s="11" t="s">
        <v>8</v>
      </c>
    </row>
    <row r="164" customFormat="false" ht="15" hidden="false" customHeight="false" outlineLevel="0" collapsed="false">
      <c r="A164" s="6" t="s">
        <v>147</v>
      </c>
      <c r="B164" s="6" t="s">
        <v>189</v>
      </c>
      <c r="C164" s="7" t="n">
        <v>29.81</v>
      </c>
      <c r="D164" s="6"/>
      <c r="E164" s="6"/>
      <c r="F164" s="6" t="s">
        <v>20</v>
      </c>
      <c r="G164" s="8" t="n">
        <f aca="false">IF(ISNUMBER(D164),ROUND(D164*(1-$B$3)/100,0)*100,IF(ISNUMBER(C164),ROUND(C164*$B$4/100,0)*100,""))</f>
        <v>32800</v>
      </c>
      <c r="H164" s="9" t="n">
        <v>4.1</v>
      </c>
      <c r="I164" s="10" t="n">
        <v>28</v>
      </c>
      <c r="J164" s="11" t="s">
        <v>16</v>
      </c>
      <c r="K164" s="11" t="s">
        <v>8</v>
      </c>
    </row>
    <row r="165" customFormat="false" ht="15" hidden="false" customHeight="false" outlineLevel="0" collapsed="false">
      <c r="A165" s="6" t="s">
        <v>147</v>
      </c>
      <c r="B165" s="6" t="s">
        <v>190</v>
      </c>
      <c r="C165" s="7" t="n">
        <v>37.92</v>
      </c>
      <c r="D165" s="6"/>
      <c r="E165" s="6"/>
      <c r="F165" s="6" t="s">
        <v>20</v>
      </c>
      <c r="G165" s="8" t="n">
        <f aca="false">IF(ISNUMBER(D165),ROUND(D165*(1-$B$3)/100,0)*100,IF(ISNUMBER(C165),ROUND(C165*$B$4/100,0)*100,""))</f>
        <v>41700</v>
      </c>
      <c r="H165" s="9" t="n">
        <v>4.39</v>
      </c>
      <c r="I165" s="10" t="n">
        <v>3653</v>
      </c>
      <c r="J165" s="11" t="s">
        <v>16</v>
      </c>
      <c r="K165" s="11" t="s">
        <v>8</v>
      </c>
    </row>
  </sheetData>
  <autoFilter ref="A6:K165"/>
  <hyperlinks>
    <hyperlink ref="J7" r:id="rId1" display="Image"/>
    <hyperlink ref="K7" r:id="rId2" display="Produit"/>
    <hyperlink ref="J8" r:id="rId3" display="Image"/>
    <hyperlink ref="K8" r:id="rId4" display="Produit"/>
    <hyperlink ref="J9" r:id="rId5" display="Image"/>
    <hyperlink ref="K9" r:id="rId6" display="Produit"/>
    <hyperlink ref="E10" r:id="rId7" display="Voir"/>
    <hyperlink ref="J10" r:id="rId8" display="Image"/>
    <hyperlink ref="K10" r:id="rId9" display="Produit"/>
    <hyperlink ref="J11" r:id="rId10" display="Image"/>
    <hyperlink ref="K11" r:id="rId11" display="Produit"/>
    <hyperlink ref="J12" r:id="rId12" display="Image"/>
    <hyperlink ref="K12" r:id="rId13" display="Produit"/>
    <hyperlink ref="J13" r:id="rId14" display="Image"/>
    <hyperlink ref="K13" r:id="rId15" display="Produit"/>
    <hyperlink ref="J14" r:id="rId16" display="Image"/>
    <hyperlink ref="K14" r:id="rId17" display="Produit"/>
    <hyperlink ref="J15" r:id="rId18" display="Image"/>
    <hyperlink ref="K15" r:id="rId19" display="Produit"/>
    <hyperlink ref="J16" r:id="rId20" display="Image"/>
    <hyperlink ref="K16" r:id="rId21" display="Produit"/>
    <hyperlink ref="J17" r:id="rId22" display="Image"/>
    <hyperlink ref="K17" r:id="rId23" display="Produit"/>
    <hyperlink ref="E18" r:id="rId24" display="Voir"/>
    <hyperlink ref="J18" r:id="rId25" display="Image"/>
    <hyperlink ref="K18" r:id="rId26" display="Produit"/>
    <hyperlink ref="J19" r:id="rId27" display="Image"/>
    <hyperlink ref="K19" r:id="rId28" display="Produit"/>
    <hyperlink ref="J20" r:id="rId29" display="Image"/>
    <hyperlink ref="K20" r:id="rId30" display="Produit"/>
    <hyperlink ref="J21" r:id="rId31" display="Image"/>
    <hyperlink ref="K21" r:id="rId32" display="Produit"/>
    <hyperlink ref="J22" r:id="rId33" display="Image"/>
    <hyperlink ref="K22" r:id="rId34" display="Produit"/>
    <hyperlink ref="J23" r:id="rId35" display="Image"/>
    <hyperlink ref="K23" r:id="rId36" display="Produit"/>
    <hyperlink ref="J24" r:id="rId37" display="Image"/>
    <hyperlink ref="K24" r:id="rId38" display="Produit"/>
    <hyperlink ref="J25" r:id="rId39" display="Image"/>
    <hyperlink ref="K25" r:id="rId40" display="Produit"/>
    <hyperlink ref="J26" r:id="rId41" display="Image"/>
    <hyperlink ref="K26" r:id="rId42" display="Produit"/>
    <hyperlink ref="E27" r:id="rId43" display="Voir"/>
    <hyperlink ref="J27" r:id="rId44" display="Image"/>
    <hyperlink ref="K27" r:id="rId45" display="Produit"/>
    <hyperlink ref="E28" r:id="rId46" display="Voir"/>
    <hyperlink ref="J28" r:id="rId47" display="Image"/>
    <hyperlink ref="K28" r:id="rId48" display="Produit"/>
    <hyperlink ref="J29" r:id="rId49" display="Image"/>
    <hyperlink ref="K29" r:id="rId50" display="Produit"/>
    <hyperlink ref="E30" r:id="rId51" display="Voir"/>
    <hyperlink ref="J30" r:id="rId52" display="Image"/>
    <hyperlink ref="K30" r:id="rId53" display="Produit"/>
    <hyperlink ref="E31" r:id="rId54" display="Voir"/>
    <hyperlink ref="J31" r:id="rId55" display="Image"/>
    <hyperlink ref="K31" r:id="rId56" display="Produit"/>
    <hyperlink ref="E32" r:id="rId57" display="Voir"/>
    <hyperlink ref="J32" r:id="rId58" display="Image"/>
    <hyperlink ref="K32" r:id="rId59" display="Produit"/>
    <hyperlink ref="E33" r:id="rId60" display="Voir"/>
    <hyperlink ref="J33" r:id="rId61" display="Image"/>
    <hyperlink ref="K33" r:id="rId62" display="Produit"/>
    <hyperlink ref="E34" r:id="rId63" display="Voir"/>
    <hyperlink ref="J34" r:id="rId64" display="Image"/>
    <hyperlink ref="K34" r:id="rId65" display="Produit"/>
    <hyperlink ref="E35" r:id="rId66" display="Voir"/>
    <hyperlink ref="J35" r:id="rId67" display="Image"/>
    <hyperlink ref="K35" r:id="rId68" display="Produit"/>
    <hyperlink ref="E36" r:id="rId69" display="Voir"/>
    <hyperlink ref="J36" r:id="rId70" display="Image"/>
    <hyperlink ref="K36" r:id="rId71" display="Produit"/>
    <hyperlink ref="E37" r:id="rId72" display="Voir"/>
    <hyperlink ref="J37" r:id="rId73" display="Image"/>
    <hyperlink ref="K37" r:id="rId74" display="Produit"/>
    <hyperlink ref="E38" r:id="rId75" display="Voir"/>
    <hyperlink ref="J38" r:id="rId76" display="Image"/>
    <hyperlink ref="K38" r:id="rId77" display="Produit"/>
    <hyperlink ref="J39" r:id="rId78" display="Image"/>
    <hyperlink ref="K39" r:id="rId79" display="Produit"/>
    <hyperlink ref="J40" r:id="rId80" display="Image"/>
    <hyperlink ref="K40" r:id="rId81" display="Produit"/>
    <hyperlink ref="J41" r:id="rId82" display="Image"/>
    <hyperlink ref="K41" r:id="rId83" display="Produit"/>
    <hyperlink ref="J42" r:id="rId84" display="Image"/>
    <hyperlink ref="K42" r:id="rId85" display="Produit"/>
    <hyperlink ref="J43" r:id="rId86" display="Image"/>
    <hyperlink ref="K43" r:id="rId87" display="Produit"/>
    <hyperlink ref="J44" r:id="rId88" display="Image"/>
    <hyperlink ref="K44" r:id="rId89" display="Produit"/>
    <hyperlink ref="E45" r:id="rId90" display="Voir"/>
    <hyperlink ref="J45" r:id="rId91" display="Image"/>
    <hyperlink ref="K45" r:id="rId92" display="Produit"/>
    <hyperlink ref="E46" r:id="rId93" display="Voir"/>
    <hyperlink ref="J46" r:id="rId94" display="Image"/>
    <hyperlink ref="K46" r:id="rId95" display="Produit"/>
    <hyperlink ref="J47" r:id="rId96" display="Image"/>
    <hyperlink ref="K47" r:id="rId97" display="Produit"/>
    <hyperlink ref="E48" r:id="rId98" display="Voir"/>
    <hyperlink ref="J48" r:id="rId99" display="Image"/>
    <hyperlink ref="K48" r:id="rId100" display="Produit"/>
    <hyperlink ref="J49" r:id="rId101" display="Image"/>
    <hyperlink ref="K49" r:id="rId102" display="Produit"/>
    <hyperlink ref="J50" r:id="rId103" display="Image"/>
    <hyperlink ref="K50" r:id="rId104" display="Produit"/>
    <hyperlink ref="E51" r:id="rId105" display="Voir"/>
    <hyperlink ref="J51" r:id="rId106" display="Image"/>
    <hyperlink ref="K51" r:id="rId107" display="Produit"/>
    <hyperlink ref="J52" r:id="rId108" display="Image"/>
    <hyperlink ref="K52" r:id="rId109" display="Produit"/>
    <hyperlink ref="J53" r:id="rId110" display="Image"/>
    <hyperlink ref="K53" r:id="rId111" display="Produit"/>
    <hyperlink ref="E54" r:id="rId112" display="Voir"/>
    <hyperlink ref="J54" r:id="rId113" display="Image"/>
    <hyperlink ref="K54" r:id="rId114" display="Produit"/>
    <hyperlink ref="E55" r:id="rId115" display="Voir"/>
    <hyperlink ref="J55" r:id="rId116" display="Image"/>
    <hyperlink ref="K55" r:id="rId117" display="Produit"/>
    <hyperlink ref="J56" r:id="rId118" display="Image"/>
    <hyperlink ref="K56" r:id="rId119" display="Produit"/>
    <hyperlink ref="E57" r:id="rId120" display="Voir"/>
    <hyperlink ref="J57" r:id="rId121" display="Image"/>
    <hyperlink ref="K57" r:id="rId122" display="Produit"/>
    <hyperlink ref="J58" r:id="rId123" display="Image"/>
    <hyperlink ref="K58" r:id="rId124" display="Produit"/>
    <hyperlink ref="E59" r:id="rId125" display="Voir"/>
    <hyperlink ref="J59" r:id="rId126" display="Image"/>
    <hyperlink ref="K59" r:id="rId127" display="Produit"/>
    <hyperlink ref="E60" r:id="rId128" display="Voir"/>
    <hyperlink ref="J60" r:id="rId129" display="Image"/>
    <hyperlink ref="K60" r:id="rId130" display="Produit"/>
    <hyperlink ref="J61" r:id="rId131" display="Image"/>
    <hyperlink ref="K61" r:id="rId132" display="Produit"/>
    <hyperlink ref="E62" r:id="rId133" display="Voir"/>
    <hyperlink ref="J62" r:id="rId134" display="Image"/>
    <hyperlink ref="K62" r:id="rId135" display="Produit"/>
    <hyperlink ref="E63" r:id="rId136" display="Voir"/>
    <hyperlink ref="J63" r:id="rId137" display="Image"/>
    <hyperlink ref="K63" r:id="rId138" display="Produit"/>
    <hyperlink ref="E64" r:id="rId139" display="Voir"/>
    <hyperlink ref="J64" r:id="rId140" display="Image"/>
    <hyperlink ref="K64" r:id="rId141" display="Produit"/>
    <hyperlink ref="E65" r:id="rId142" display="Voir"/>
    <hyperlink ref="J65" r:id="rId143" display="Image"/>
    <hyperlink ref="K65" r:id="rId144" display="Produit"/>
    <hyperlink ref="E66" r:id="rId145" display="Voir"/>
    <hyperlink ref="J66" r:id="rId146" display="Image"/>
    <hyperlink ref="K66" r:id="rId147" display="Produit"/>
    <hyperlink ref="E67" r:id="rId148" display="Voir"/>
    <hyperlink ref="J67" r:id="rId149" display="Image"/>
    <hyperlink ref="K67" r:id="rId150" display="Produit"/>
    <hyperlink ref="J68" r:id="rId151" display="Image"/>
    <hyperlink ref="K68" r:id="rId152" display="Produit"/>
    <hyperlink ref="E69" r:id="rId153" display="Voir"/>
    <hyperlink ref="J69" r:id="rId154" display="Image"/>
    <hyperlink ref="K69" r:id="rId155" display="Produit"/>
    <hyperlink ref="E70" r:id="rId156" display="Voir"/>
    <hyperlink ref="J70" r:id="rId157" display="Image"/>
    <hyperlink ref="K70" r:id="rId158" display="Produit"/>
    <hyperlink ref="E71" r:id="rId159" display="Voir"/>
    <hyperlink ref="J71" r:id="rId160" display="Image"/>
    <hyperlink ref="K71" r:id="rId161" display="Produit"/>
    <hyperlink ref="E72" r:id="rId162" display="Voir"/>
    <hyperlink ref="J72" r:id="rId163" display="Image"/>
    <hyperlink ref="K72" r:id="rId164" display="Produit"/>
    <hyperlink ref="J73" r:id="rId165" display="Image"/>
    <hyperlink ref="K73" r:id="rId166" display="Produit"/>
    <hyperlink ref="E74" r:id="rId167" display="Voir"/>
    <hyperlink ref="J74" r:id="rId168" display="Image"/>
    <hyperlink ref="K74" r:id="rId169" display="Produit"/>
    <hyperlink ref="E75" r:id="rId170" display="Voir"/>
    <hyperlink ref="J75" r:id="rId171" display="Image"/>
    <hyperlink ref="K75" r:id="rId172" display="Produit"/>
    <hyperlink ref="E76" r:id="rId173" display="Voir"/>
    <hyperlink ref="J76" r:id="rId174" display="Image"/>
    <hyperlink ref="K76" r:id="rId175" display="Produit"/>
    <hyperlink ref="E77" r:id="rId176" display="Voir"/>
    <hyperlink ref="J77" r:id="rId177" display="Image"/>
    <hyperlink ref="K77" r:id="rId178" display="Produit"/>
    <hyperlink ref="E78" r:id="rId179" display="Voir"/>
    <hyperlink ref="J78" r:id="rId180" display="Image"/>
    <hyperlink ref="K78" r:id="rId181" display="Produit"/>
    <hyperlink ref="J79" r:id="rId182" display="Image"/>
    <hyperlink ref="K79" r:id="rId183" display="Produit"/>
    <hyperlink ref="J80" r:id="rId184" display="Image"/>
    <hyperlink ref="K80" r:id="rId185" display="Produit"/>
    <hyperlink ref="E81" r:id="rId186" display="Voir"/>
    <hyperlink ref="J81" r:id="rId187" display="Image"/>
    <hyperlink ref="K81" r:id="rId188" display="Produit"/>
    <hyperlink ref="J82" r:id="rId189" display="Image"/>
    <hyperlink ref="K82" r:id="rId190" display="Produit"/>
    <hyperlink ref="J83" r:id="rId191" display="Image"/>
    <hyperlink ref="K83" r:id="rId192" display="Produit"/>
    <hyperlink ref="J84" r:id="rId193" display="Image"/>
    <hyperlink ref="K84" r:id="rId194" display="Produit"/>
    <hyperlink ref="J85" r:id="rId195" display="Image"/>
    <hyperlink ref="K85" r:id="rId196" display="Produit"/>
    <hyperlink ref="E86" r:id="rId197" display="Voir"/>
    <hyperlink ref="J86" r:id="rId198" display="Image"/>
    <hyperlink ref="K86" r:id="rId199" display="Produit"/>
    <hyperlink ref="E87" r:id="rId200" display="Voir"/>
    <hyperlink ref="J87" r:id="rId201" display="Image"/>
    <hyperlink ref="K87" r:id="rId202" display="Produit"/>
    <hyperlink ref="J88" r:id="rId203" display="Image"/>
    <hyperlink ref="K88" r:id="rId204" display="Produit"/>
    <hyperlink ref="J89" r:id="rId205" display="Image"/>
    <hyperlink ref="K89" r:id="rId206" display="Produit"/>
    <hyperlink ref="E90" r:id="rId207" display="Voir"/>
    <hyperlink ref="J90" r:id="rId208" display="Image"/>
    <hyperlink ref="K90" r:id="rId209" display="Produit"/>
    <hyperlink ref="E91" r:id="rId210" display="Voir"/>
    <hyperlink ref="J91" r:id="rId211" display="Image"/>
    <hyperlink ref="K91" r:id="rId212" display="Produit"/>
    <hyperlink ref="E92" r:id="rId213" display="Voir"/>
    <hyperlink ref="J92" r:id="rId214" display="Image"/>
    <hyperlink ref="K92" r:id="rId215" display="Produit"/>
    <hyperlink ref="E93" r:id="rId216" display="Voir"/>
    <hyperlink ref="J93" r:id="rId217" display="Image"/>
    <hyperlink ref="K93" r:id="rId218" display="Produit"/>
    <hyperlink ref="E94" r:id="rId219" display="Voir"/>
    <hyperlink ref="J94" r:id="rId220" display="Image"/>
    <hyperlink ref="K94" r:id="rId221" display="Produit"/>
    <hyperlink ref="E95" r:id="rId222" display="Voir"/>
    <hyperlink ref="J95" r:id="rId223" display="Image"/>
    <hyperlink ref="K95" r:id="rId224" display="Produit"/>
    <hyperlink ref="J96" r:id="rId225" display="Image"/>
    <hyperlink ref="K96" r:id="rId226" display="Produit"/>
    <hyperlink ref="E97" r:id="rId227" display="Voir"/>
    <hyperlink ref="J97" r:id="rId228" display="Image"/>
    <hyperlink ref="K97" r:id="rId229" display="Produit"/>
    <hyperlink ref="E98" r:id="rId230" display="Voir"/>
    <hyperlink ref="J98" r:id="rId231" display="Image"/>
    <hyperlink ref="K98" r:id="rId232" display="Produit"/>
    <hyperlink ref="E99" r:id="rId233" display="Voir"/>
    <hyperlink ref="J99" r:id="rId234" display="Image"/>
    <hyperlink ref="K99" r:id="rId235" display="Produit"/>
    <hyperlink ref="E100" r:id="rId236" display="Voir"/>
    <hyperlink ref="J100" r:id="rId237" display="Image"/>
    <hyperlink ref="K100" r:id="rId238" display="Produit"/>
    <hyperlink ref="E101" r:id="rId239" display="Voir"/>
    <hyperlink ref="J101" r:id="rId240" display="Image"/>
    <hyperlink ref="K101" r:id="rId241" display="Produit"/>
    <hyperlink ref="E102" r:id="rId242" display="Voir"/>
    <hyperlink ref="J102" r:id="rId243" display="Image"/>
    <hyperlink ref="K102" r:id="rId244" display="Produit"/>
    <hyperlink ref="J103" r:id="rId245" display="Image"/>
    <hyperlink ref="K103" r:id="rId246" display="Produit"/>
    <hyperlink ref="E104" r:id="rId247" display="Voir"/>
    <hyperlink ref="J104" r:id="rId248" display="Image"/>
    <hyperlink ref="K104" r:id="rId249" display="Produit"/>
    <hyperlink ref="J105" r:id="rId250" display="Image"/>
    <hyperlink ref="K105" r:id="rId251" display="Produit"/>
    <hyperlink ref="J106" r:id="rId252" display="Image"/>
    <hyperlink ref="K106" r:id="rId253" display="Produit"/>
    <hyperlink ref="J107" r:id="rId254" display="Image"/>
    <hyperlink ref="K107" r:id="rId255" display="Produit"/>
    <hyperlink ref="J108" r:id="rId256" display="Image"/>
    <hyperlink ref="K108" r:id="rId257" display="Produit"/>
    <hyperlink ref="J109" r:id="rId258" display="Image"/>
    <hyperlink ref="K109" r:id="rId259" display="Produit"/>
    <hyperlink ref="E110" r:id="rId260" display="Voir"/>
    <hyperlink ref="J110" r:id="rId261" display="Image"/>
    <hyperlink ref="K110" r:id="rId262" display="Produit"/>
    <hyperlink ref="J111" r:id="rId263" display="Image"/>
    <hyperlink ref="K111" r:id="rId264" display="Produit"/>
    <hyperlink ref="E112" r:id="rId265" display="Voir"/>
    <hyperlink ref="J112" r:id="rId266" display="Image"/>
    <hyperlink ref="K112" r:id="rId267" display="Produit"/>
    <hyperlink ref="J113" r:id="rId268" display="Image"/>
    <hyperlink ref="K113" r:id="rId269" display="Produit"/>
    <hyperlink ref="J114" r:id="rId270" display="Image"/>
    <hyperlink ref="K114" r:id="rId271" display="Produit"/>
    <hyperlink ref="J115" r:id="rId272" display="Image"/>
    <hyperlink ref="K115" r:id="rId273" display="Produit"/>
    <hyperlink ref="E116" r:id="rId274" display="Voir"/>
    <hyperlink ref="J116" r:id="rId275" display="Image"/>
    <hyperlink ref="K116" r:id="rId276" display="Produit"/>
    <hyperlink ref="J117" r:id="rId277" display="Image"/>
    <hyperlink ref="K117" r:id="rId278" display="Produit"/>
    <hyperlink ref="E118" r:id="rId279" display="Voir"/>
    <hyperlink ref="J118" r:id="rId280" display="Image"/>
    <hyperlink ref="K118" r:id="rId281" display="Produit"/>
    <hyperlink ref="J119" r:id="rId282" display="Image"/>
    <hyperlink ref="K119" r:id="rId283" display="Produit"/>
    <hyperlink ref="J120" r:id="rId284" display="Image"/>
    <hyperlink ref="K120" r:id="rId285" display="Produit"/>
    <hyperlink ref="J121" r:id="rId286" display="Image"/>
    <hyperlink ref="K121" r:id="rId287" display="Produit"/>
    <hyperlink ref="J122" r:id="rId288" display="Image"/>
    <hyperlink ref="K122" r:id="rId289" display="Produit"/>
    <hyperlink ref="J123" r:id="rId290" display="Image"/>
    <hyperlink ref="K123" r:id="rId291" display="Produit"/>
    <hyperlink ref="J124" r:id="rId292" display="Image"/>
    <hyperlink ref="K124" r:id="rId293" display="Produit"/>
    <hyperlink ref="E125" r:id="rId294" display="Voir"/>
    <hyperlink ref="J125" r:id="rId295" display="Image"/>
    <hyperlink ref="K125" r:id="rId296" display="Produit"/>
    <hyperlink ref="E126" r:id="rId297" display="Voir"/>
    <hyperlink ref="J126" r:id="rId298" display="Image"/>
    <hyperlink ref="K126" r:id="rId299" display="Produit"/>
    <hyperlink ref="E127" r:id="rId300" display="Voir"/>
    <hyperlink ref="J127" r:id="rId301" display="Image"/>
    <hyperlink ref="K127" r:id="rId302" display="Produit"/>
    <hyperlink ref="E128" r:id="rId303" display="Voir"/>
    <hyperlink ref="J128" r:id="rId304" display="Image"/>
    <hyperlink ref="K128" r:id="rId305" display="Produit"/>
    <hyperlink ref="E129" r:id="rId306" display="Voir"/>
    <hyperlink ref="J129" r:id="rId307" display="Image"/>
    <hyperlink ref="K129" r:id="rId308" display="Produit"/>
    <hyperlink ref="E130" r:id="rId309" display="Voir"/>
    <hyperlink ref="J130" r:id="rId310" display="Image"/>
    <hyperlink ref="K130" r:id="rId311" display="Produit"/>
    <hyperlink ref="E131" r:id="rId312" display="Voir"/>
    <hyperlink ref="J131" r:id="rId313" display="Image"/>
    <hyperlink ref="K131" r:id="rId314" display="Produit"/>
    <hyperlink ref="E132" r:id="rId315" display="Voir"/>
    <hyperlink ref="J132" r:id="rId316" display="Image"/>
    <hyperlink ref="K132" r:id="rId317" display="Produit"/>
    <hyperlink ref="J133" r:id="rId318" display="Image"/>
    <hyperlink ref="K133" r:id="rId319" display="Produit"/>
    <hyperlink ref="J134" r:id="rId320" display="Image"/>
    <hyperlink ref="K134" r:id="rId321" display="Produit"/>
    <hyperlink ref="J135" r:id="rId322" display="Image"/>
    <hyperlink ref="K135" r:id="rId323" display="Produit"/>
    <hyperlink ref="E136" r:id="rId324" display="Voir"/>
    <hyperlink ref="J136" r:id="rId325" display="Image"/>
    <hyperlink ref="K136" r:id="rId326" display="Produit"/>
    <hyperlink ref="J137" r:id="rId327" display="Image"/>
    <hyperlink ref="K137" r:id="rId328" display="Produit"/>
    <hyperlink ref="J138" r:id="rId329" display="Image"/>
    <hyperlink ref="K138" r:id="rId330" display="Produit"/>
    <hyperlink ref="J139" r:id="rId331" display="Image"/>
    <hyperlink ref="K139" r:id="rId332" display="Produit"/>
    <hyperlink ref="J140" r:id="rId333" display="Image"/>
    <hyperlink ref="K140" r:id="rId334" display="Produit"/>
    <hyperlink ref="E141" r:id="rId335" display="Voir"/>
    <hyperlink ref="J141" r:id="rId336" display="Image"/>
    <hyperlink ref="K141" r:id="rId337" display="Produit"/>
    <hyperlink ref="E142" r:id="rId338" display="Voir"/>
    <hyperlink ref="J142" r:id="rId339" display="Image"/>
    <hyperlink ref="K142" r:id="rId340" display="Produit"/>
    <hyperlink ref="E143" r:id="rId341" display="Voir"/>
    <hyperlink ref="J143" r:id="rId342" display="Image"/>
    <hyperlink ref="K143" r:id="rId343" display="Produit"/>
    <hyperlink ref="E144" r:id="rId344" display="Voir"/>
    <hyperlink ref="J144" r:id="rId345" display="Image"/>
    <hyperlink ref="K144" r:id="rId346" display="Produit"/>
    <hyperlink ref="E145" r:id="rId347" display="Voir"/>
    <hyperlink ref="J145" r:id="rId348" display="Image"/>
    <hyperlink ref="K145" r:id="rId349" display="Produit"/>
    <hyperlink ref="J146" r:id="rId350" display="Image"/>
    <hyperlink ref="K146" r:id="rId351" display="Produit"/>
    <hyperlink ref="J147" r:id="rId352" display="Image"/>
    <hyperlink ref="K147" r:id="rId353" display="Produit"/>
    <hyperlink ref="J148" r:id="rId354" display="Image"/>
    <hyperlink ref="K148" r:id="rId355" display="Produit"/>
    <hyperlink ref="J149" r:id="rId356" display="Image"/>
    <hyperlink ref="K149" r:id="rId357" display="Produit"/>
    <hyperlink ref="J150" r:id="rId358" display="Image"/>
    <hyperlink ref="K150" r:id="rId359" display="Produit"/>
    <hyperlink ref="J151" r:id="rId360" display="Image"/>
    <hyperlink ref="K151" r:id="rId361" display="Produit"/>
    <hyperlink ref="E152" r:id="rId362" display="Voir"/>
    <hyperlink ref="J152" r:id="rId363" display="Image"/>
    <hyperlink ref="K152" r:id="rId364" display="Produit"/>
    <hyperlink ref="E153" r:id="rId365" display="Voir"/>
    <hyperlink ref="J153" r:id="rId366" display="Image"/>
    <hyperlink ref="K153" r:id="rId367" display="Produit"/>
    <hyperlink ref="J154" r:id="rId368" display="Image"/>
    <hyperlink ref="K154" r:id="rId369" display="Produit"/>
    <hyperlink ref="E155" r:id="rId370" display="Voir"/>
    <hyperlink ref="J155" r:id="rId371" display="Image"/>
    <hyperlink ref="K155" r:id="rId372" display="Produit"/>
    <hyperlink ref="J156" r:id="rId373" display="Image"/>
    <hyperlink ref="K156" r:id="rId374" display="Produit"/>
    <hyperlink ref="J157" r:id="rId375" display="Image"/>
    <hyperlink ref="K157" r:id="rId376" display="Produit"/>
    <hyperlink ref="J158" r:id="rId377" display="Image"/>
    <hyperlink ref="K158" r:id="rId378" display="Produit"/>
    <hyperlink ref="E159" r:id="rId379" display="Voir"/>
    <hyperlink ref="J159" r:id="rId380" display="Image"/>
    <hyperlink ref="K159" r:id="rId381" display="Produit"/>
    <hyperlink ref="J160" r:id="rId382" display="Image"/>
    <hyperlink ref="K160" r:id="rId383" display="Produit"/>
    <hyperlink ref="J161" r:id="rId384" display="Image"/>
    <hyperlink ref="K161" r:id="rId385" display="Produit"/>
    <hyperlink ref="E162" r:id="rId386" display="Voir"/>
    <hyperlink ref="J162" r:id="rId387" display="Image"/>
    <hyperlink ref="K162" r:id="rId388" display="Produit"/>
    <hyperlink ref="E163" r:id="rId389" display="Voir"/>
    <hyperlink ref="J163" r:id="rId390" display="Image"/>
    <hyperlink ref="K163" r:id="rId391" display="Produit"/>
    <hyperlink ref="J164" r:id="rId392" display="Image"/>
    <hyperlink ref="K164" r:id="rId393" display="Produit"/>
    <hyperlink ref="J165" r:id="rId394" display="Image"/>
    <hyperlink ref="K165" r:id="rId395" display="Produ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191</v>
      </c>
    </row>
    <row r="3" customFormat="false" ht="15" hidden="false" customHeight="false" outlineLevel="0" collapsed="false">
      <c r="A3" s="16" t="s">
        <v>192</v>
      </c>
      <c r="B3" s="17" t="n">
        <f aca="false">COUNTA(Produits!B7:B165)</f>
        <v>159</v>
      </c>
    </row>
    <row r="4" customFormat="false" ht="15" hidden="false" customHeight="false" outlineLevel="0" collapsed="false">
      <c r="A4" s="16" t="s">
        <v>193</v>
      </c>
      <c r="B4" s="17" t="n">
        <f aca="false">COUNT(Produits!D7:D165)</f>
        <v>71</v>
      </c>
    </row>
    <row r="5" customFormat="false" ht="15" hidden="false" customHeight="false" outlineLevel="0" collapsed="false">
      <c r="A5" s="16" t="s">
        <v>194</v>
      </c>
      <c r="B5" s="17" t="n">
        <f aca="false">COUNTIF(Produits!F:F,"exact")</f>
        <v>5</v>
      </c>
    </row>
    <row r="6" customFormat="false" ht="15" hidden="false" customHeight="false" outlineLevel="0" collapsed="false">
      <c r="A6" s="16" t="s">
        <v>195</v>
      </c>
      <c r="B6" s="17" t="n">
        <f aca="false">COUNTIF(Produits!F:F,"similaire")</f>
        <v>72</v>
      </c>
    </row>
    <row r="7" customFormat="false" ht="15" hidden="false" customHeight="false" outlineLevel="0" collapsed="false">
      <c r="A7" s="16" t="s">
        <v>196</v>
      </c>
      <c r="B7" s="17" t="n">
        <f aca="false">COUNTIF(Produits!F:F,"introuvable")</f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2026-07-21T09:03:01Z</dcterms:created>
  <dc:creator>openpyxl</dc:creator>
  <dc:description/>
  <dc:language>en-US</dc:language>
  <cp:lastModifiedBy/>
  <dcterms:modified xsi:type="dcterms:W3CDTF">2026-07-21T09:03:01Z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